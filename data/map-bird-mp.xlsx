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40" tabRatio="778" activeTab="1"/>
  </bookViews>
  <sheets>
    <sheet name="Metadata" sheetId="18" r:id="rId1"/>
    <sheet name="bird" sheetId="2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<sst xmlns="http://schemas.openxmlformats.org/spreadsheetml/2006/main" count="4064" uniqueCount="704">
  <si>
    <t>Variable</t>
  </si>
  <si>
    <t>Description</t>
  </si>
  <si>
    <t>Variable Types</t>
  </si>
  <si>
    <t>Units</t>
  </si>
  <si>
    <t>Source</t>
  </si>
  <si>
    <t>Article No.</t>
  </si>
  <si>
    <t>Unique ID for the data collected from the specific article</t>
  </si>
  <si>
    <t>ID</t>
  </si>
  <si>
    <t>Title</t>
  </si>
  <si>
    <t>Title of each article</t>
  </si>
  <si>
    <t>NA</t>
  </si>
  <si>
    <t>Reference</t>
  </si>
  <si>
    <t>Author name with year of the specific sourced article</t>
  </si>
  <si>
    <t>Species</t>
  </si>
  <si>
    <t>Bird species name</t>
  </si>
  <si>
    <t>Categorical</t>
  </si>
  <si>
    <t>Beak.Length_Culmen</t>
  </si>
  <si>
    <t>Length from the tip of the beak to the base of the skull</t>
  </si>
  <si>
    <t>continuous</t>
  </si>
  <si>
    <t>mm</t>
  </si>
  <si>
    <t>Beak.Width</t>
  </si>
  <si>
    <t>Width of the beak at the anterior edge of the nostrils</t>
  </si>
  <si>
    <t>Wing.Length</t>
  </si>
  <si>
    <t>Length from the carpal joint (bend of the wing) to the tip of the longest primary on the unflattened wing</t>
  </si>
  <si>
    <t>Mass</t>
  </si>
  <si>
    <t>Body mass given as species average (incorporating both male and female body mass)</t>
  </si>
  <si>
    <t>gram</t>
  </si>
  <si>
    <t>Trophic.Level</t>
  </si>
  <si>
    <t>Herbivore = species obtaining at least 70% of food resources from plants; Carnivore = species obtaining at least 70% of food resources by consuming live invertebrate or vertebrate animals; Scavenger = species obtaining at least 70% of food resources from carrion or refuse; Omnivore = species obtaining resources from multiple trophic level in roughly equal proportion</t>
  </si>
  <si>
    <t>categorical</t>
  </si>
  <si>
    <t>Pigot et al. (2020) Nature Ecology &amp; Evolution</t>
  </si>
  <si>
    <t>Trophic.Niche</t>
  </si>
  <si>
    <t xml:space="preserve">Frugivore = species obtaining at least 60% of food resources from fruit; 
Granivore = species obtaining at least 60% of food resources from seeds or nuts; 
Nectarivore =  species obtaining at least 60% of food resources from nectar; 
Herbivore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</si>
  <si>
    <t>Habitat</t>
  </si>
  <si>
    <t>Desert (= drylands and other open arid habitats, often sandy with very sparse vegetation); 
Rock (= rocky substrate typically with no or very little vegetation, including rocky outcrops, rocky coastlines, arid stony steppes, rocky mountaintops and mountain slopes); 
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</si>
  <si>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Data extracted from primary and secondary literature, particularly Handbook of the Birds of the World (including Birds of the World)</t>
  </si>
  <si>
    <t>Habitat.Density</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</si>
  <si>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</si>
  <si>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discrete</t>
  </si>
  <si>
    <t>Tobias et al. (2016) Frontiers Ecol. Evol.</t>
  </si>
  <si>
    <t>Migration</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</si>
  <si>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</si>
  <si>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Tobias &amp; Pigot (2019) Phil. Trans. Roy. Soc.</t>
  </si>
  <si>
    <t>Primary.Lifestyle</t>
  </si>
  <si>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</si>
  <si>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t>study_id</t>
  </si>
  <si>
    <t>Authority</t>
  </si>
  <si>
    <t>Common_Name</t>
  </si>
  <si>
    <t>Order</t>
  </si>
  <si>
    <t>Family</t>
  </si>
  <si>
    <t>Migratory_status</t>
  </si>
  <si>
    <t>IUCN</t>
  </si>
  <si>
    <t>Species_type</t>
  </si>
  <si>
    <t>Diet_composition</t>
  </si>
  <si>
    <t>Feeding_habit</t>
  </si>
  <si>
    <t>Max-Elevation_m</t>
  </si>
  <si>
    <t>Min_Body_mass_g</t>
  </si>
  <si>
    <t>Max_Body_mass_g</t>
  </si>
  <si>
    <t>min-length-cm</t>
  </si>
  <si>
    <t>max-length-cm</t>
  </si>
  <si>
    <t>Longitude</t>
  </si>
  <si>
    <t>Latitude</t>
  </si>
  <si>
    <t>Location</t>
  </si>
  <si>
    <t>Province</t>
  </si>
  <si>
    <t>Country</t>
  </si>
  <si>
    <t>Continent</t>
  </si>
  <si>
    <t>Years_sampling</t>
  </si>
  <si>
    <t>Tissue</t>
  </si>
  <si>
    <t>Extraction method</t>
  </si>
  <si>
    <t>Identification</t>
  </si>
  <si>
    <t>Ref_method</t>
  </si>
  <si>
    <t>Mppersp</t>
  </si>
  <si>
    <t>First Report on Microplastics Quantiﬁcation in Poultry Chicken and Potential Human Health Risks in Pakistan</t>
  </si>
  <si>
    <t>Bilal et al_2023</t>
  </si>
  <si>
    <t>Gallus gallus</t>
  </si>
  <si>
    <t>Poultry Chicken</t>
  </si>
  <si>
    <t>Galliformes</t>
  </si>
  <si>
    <t>Phasianidae</t>
  </si>
  <si>
    <t>Not a Migrant</t>
  </si>
  <si>
    <t>LC</t>
  </si>
  <si>
    <t>Landbird</t>
  </si>
  <si>
    <t>Omnivore</t>
  </si>
  <si>
    <t>Herbivore</t>
  </si>
  <si>
    <t>Forest</t>
  </si>
  <si>
    <t>Terrestrial</t>
  </si>
  <si>
    <t>Punjab</t>
  </si>
  <si>
    <t>Pakistan</t>
  </si>
  <si>
    <t>Asia</t>
  </si>
  <si>
    <t>Crop</t>
  </si>
  <si>
    <t>KOH</t>
  </si>
  <si>
    <t>Stereomicroscope &amp; FTIR</t>
  </si>
  <si>
    <t>Gizzard</t>
  </si>
  <si>
    <t>Field evidence for transfer of plastic debris along a terrestrial food chain</t>
  </si>
  <si>
    <t>Lwanga et al_2017</t>
  </si>
  <si>
    <t>Pucnachen</t>
  </si>
  <si>
    <t>Mexico</t>
  </si>
  <si>
    <t>North America</t>
  </si>
  <si>
    <t>Washed &amp; Sieve</t>
  </si>
  <si>
    <t>Stereomicroscope</t>
  </si>
  <si>
    <t>Franeker et al. 2011</t>
  </si>
  <si>
    <t>Assessing the Presence and Concentration of Microplastics in the Gizzards of Virginia Waterfowl</t>
  </si>
  <si>
    <t>Bustamante et al_2021</t>
  </si>
  <si>
    <t>Water fowl</t>
  </si>
  <si>
    <t>Westmoreland county</t>
  </si>
  <si>
    <t>Virginia</t>
  </si>
  <si>
    <t>Microplastic Quantiffcation of the Proventriculus and Gizzard of Florida Seabirds</t>
  </si>
  <si>
    <t>Clark et al_2023</t>
  </si>
  <si>
    <t>Larus atricilla</t>
  </si>
  <si>
    <t>Linnaeus, 1758</t>
  </si>
  <si>
    <t>Laughing Gull</t>
  </si>
  <si>
    <t>Charadriformes</t>
  </si>
  <si>
    <t>Laridae</t>
  </si>
  <si>
    <t>Full migrant</t>
  </si>
  <si>
    <t>Aquatic bird</t>
  </si>
  <si>
    <t>aquatic insects/aquatic invertebrates</t>
  </si>
  <si>
    <t>Carnivore</t>
  </si>
  <si>
    <t>Aquatic predator</t>
  </si>
  <si>
    <t>Marine</t>
  </si>
  <si>
    <t>Aerial</t>
  </si>
  <si>
    <t>Florida Keys Wild Bird Center</t>
  </si>
  <si>
    <t>Florida</t>
  </si>
  <si>
    <t>United States of America</t>
  </si>
  <si>
    <t>Provencher et al. 2019; Zhao et al. 2016</t>
  </si>
  <si>
    <t>Pelecanus occidentalis</t>
  </si>
  <si>
    <t>Linnaeus, 1766</t>
  </si>
  <si>
    <t>Brown Pelican</t>
  </si>
  <si>
    <t>Pelecaniformes</t>
  </si>
  <si>
    <t>Pelecanidae</t>
  </si>
  <si>
    <t>sardines/anchovies/shrimps/carrion</t>
  </si>
  <si>
    <t>Piscivore</t>
  </si>
  <si>
    <t>Nannopterum auritum</t>
  </si>
  <si>
    <t>Lesson, 1831</t>
  </si>
  <si>
    <t>Double-crested Cormorant</t>
  </si>
  <si>
    <t>Phalacrocorcidae</t>
  </si>
  <si>
    <t>Suliformes</t>
  </si>
  <si>
    <t>fish/crustaceans</t>
  </si>
  <si>
    <t>Aquatic</t>
  </si>
  <si>
    <t>Thalasseus maximus</t>
  </si>
  <si>
    <t>Boddaert, 1783</t>
  </si>
  <si>
    <t>Royal Tern</t>
  </si>
  <si>
    <t>Charadriiformes</t>
  </si>
  <si>
    <t>fish/crabs/squid/shrimps</t>
  </si>
  <si>
    <t>Microplastics in Digestive System of Little-black cormorant (Phalacrocorax sulcirostris) in Pulau Rambut Sanctuary</t>
  </si>
  <si>
    <t>Susanti et al_2022</t>
  </si>
  <si>
    <t>Phalacrocorax sulcirostris</t>
  </si>
  <si>
    <t>Brandt, 1837</t>
  </si>
  <si>
    <t>Little Black Cormorant</t>
  </si>
  <si>
    <t>Phalacrocoracidae</t>
  </si>
  <si>
    <t>fish</t>
  </si>
  <si>
    <t>Wetland</t>
  </si>
  <si>
    <t>Pulau Rambut</t>
  </si>
  <si>
    <t>Indonesia</t>
  </si>
  <si>
    <t>GIT</t>
  </si>
  <si>
    <t>NaCl</t>
  </si>
  <si>
    <t>Boerger et al. 2010</t>
  </si>
  <si>
    <t>Microplastic Quantiﬁcation in Aquatic Birds: Biomonitoring the Environmental Health of the Panjkora River Freshwater Ecosystem in Pakistan</t>
  </si>
  <si>
    <t>Anas platyrhynchos</t>
  </si>
  <si>
    <t>Mallard</t>
  </si>
  <si>
    <t>Anseriformes</t>
  </si>
  <si>
    <t>Anatidae</t>
  </si>
  <si>
    <t>Full Migrant</t>
  </si>
  <si>
    <t>Waterbird</t>
  </si>
  <si>
    <t>Herbivore aquatic</t>
  </si>
  <si>
    <t>Panjkora River</t>
  </si>
  <si>
    <t>Organochlorine pesticides, polycyclic aromatic hydrocarbons, metals and metalloids in microplastics found in regurgitated pellets of black vulture from Campeche, Mexico</t>
  </si>
  <si>
    <t>Borges-Ramirez et al_2021</t>
  </si>
  <si>
    <t>Coragyps atratus</t>
  </si>
  <si>
    <t>Bechstein, 1783</t>
  </si>
  <si>
    <t>American Black Vulture</t>
  </si>
  <si>
    <t>Cathartiformes</t>
  </si>
  <si>
    <t>Cathartidae</t>
  </si>
  <si>
    <t>Scavenger</t>
  </si>
  <si>
    <t>Human modified</t>
  </si>
  <si>
    <t>Campeche city landfill</t>
  </si>
  <si>
    <t>Campeche</t>
  </si>
  <si>
    <t>RP</t>
  </si>
  <si>
    <t>Dried &amp; Crumbling</t>
  </si>
  <si>
    <t>Auge 2017</t>
  </si>
  <si>
    <t>Breeding seabirds as vectors of microplastics from sea to land: Evidence from colonies in Arctic Canada</t>
  </si>
  <si>
    <t>Bourdages et al_2021</t>
  </si>
  <si>
    <t>Fulmarus glacialis</t>
  </si>
  <si>
    <t>Linnaeus, 1761</t>
  </si>
  <si>
    <t>Northern Fulmar</t>
  </si>
  <si>
    <t>Procellariiformes</t>
  </si>
  <si>
    <t>Procellariidae</t>
  </si>
  <si>
    <t>Seabird</t>
  </si>
  <si>
    <t>Fish/squid/zooplankton</t>
  </si>
  <si>
    <t>Qaqulluit National Wildlife Area</t>
  </si>
  <si>
    <t>Qikiqtarjuaq</t>
  </si>
  <si>
    <t>Nunavut</t>
  </si>
  <si>
    <t>Provencher et al. 2017</t>
  </si>
  <si>
    <t>FP</t>
  </si>
  <si>
    <t>Uria lomvia</t>
  </si>
  <si>
    <t>Thick-billed Murre</t>
  </si>
  <si>
    <t>Alcidae</t>
  </si>
  <si>
    <t>Fish/squid/crustaceans/polychaetes</t>
  </si>
  <si>
    <t>Akpait National Wildlife area</t>
  </si>
  <si>
    <t>Nunavat</t>
  </si>
  <si>
    <t>Microplastic accumulation in the gastrointestinal tracts in birds of prey in central Florida, USA</t>
  </si>
  <si>
    <t>Carlin et al_2020</t>
  </si>
  <si>
    <t>Buteo lineatus</t>
  </si>
  <si>
    <t>Gmelin, 1788</t>
  </si>
  <si>
    <t>Red-shouldered Hawk</t>
  </si>
  <si>
    <t>Accipitriformes</t>
  </si>
  <si>
    <t>Accipitridae</t>
  </si>
  <si>
    <t>Vertivore</t>
  </si>
  <si>
    <t>Woodland</t>
  </si>
  <si>
    <t>Audubon Center, Maitland</t>
  </si>
  <si>
    <t>USA</t>
  </si>
  <si>
    <t>Foekema et al. 2013</t>
  </si>
  <si>
    <t>Pandion haliaetus</t>
  </si>
  <si>
    <t>Osprey</t>
  </si>
  <si>
    <t>Pandionidae</t>
  </si>
  <si>
    <t>Live fish</t>
  </si>
  <si>
    <t>Strix Varia</t>
  </si>
  <si>
    <t>Barton, 1799</t>
  </si>
  <si>
    <t>Barred Owl</t>
  </si>
  <si>
    <t>Strigiformes</t>
  </si>
  <si>
    <t>Strigidae</t>
  </si>
  <si>
    <t>Insessorial</t>
  </si>
  <si>
    <t>Megascops asio</t>
  </si>
  <si>
    <t>Eastern Screech-owl</t>
  </si>
  <si>
    <t>Invertivore</t>
  </si>
  <si>
    <t>Cathartes aura</t>
  </si>
  <si>
    <t>Turkey Vulture</t>
  </si>
  <si>
    <t>Buteo jamaicensis</t>
  </si>
  <si>
    <t>Red-tailed Hawk</t>
  </si>
  <si>
    <t>Accipiter cooperii</t>
  </si>
  <si>
    <t>Bonaparte, 1828</t>
  </si>
  <si>
    <t>Cooper's Hawk</t>
  </si>
  <si>
    <t>First report on occurrence and characterization of microplastics  in feces of Corvus splendens (Vieillot, 1817)</t>
  </si>
  <si>
    <t>Charles et al_2024</t>
  </si>
  <si>
    <t>Corvus splendens</t>
  </si>
  <si>
    <t>Vieillot, 1817</t>
  </si>
  <si>
    <t>House Crow</t>
  </si>
  <si>
    <t>Passeriformes</t>
  </si>
  <si>
    <t>Corvidae</t>
  </si>
  <si>
    <t>Salem</t>
  </si>
  <si>
    <t>Tamil Nadu</t>
  </si>
  <si>
    <t>India</t>
  </si>
  <si>
    <t>Dropping</t>
  </si>
  <si>
    <t>KOH &amp; H2O2</t>
  </si>
  <si>
    <t>Bessa et al. 2019; Bourdages et al. 2021</t>
  </si>
  <si>
    <t>Plastic burdens in northern fulmars from Svalbard: Looking back 25 years</t>
  </si>
  <si>
    <t>Collard et al_2022</t>
  </si>
  <si>
    <t>Kongsfjorden</t>
  </si>
  <si>
    <t>Norway</t>
  </si>
  <si>
    <t>Europe</t>
  </si>
  <si>
    <t>FTIR</t>
  </si>
  <si>
    <t>Dehaut et al. 2016; Karami et al. 2017</t>
  </si>
  <si>
    <t>Evaluation of meso- and microplastic ingestion by the northern fulmar  through a non-lethal sampling method</t>
  </si>
  <si>
    <t>Collard et al_2023</t>
  </si>
  <si>
    <t>Fulmarus</t>
  </si>
  <si>
    <t>Herwighamna, Bjornoya</t>
  </si>
  <si>
    <t>Svalbard</t>
  </si>
  <si>
    <t>Thrushes (Aves: Passeriformes) as indicators of microplastic pollution in terrestrial environments</t>
  </si>
  <si>
    <t>Deoniziak et al_2022</t>
  </si>
  <si>
    <t>Turdus merula</t>
  </si>
  <si>
    <t>Eurasian blackbird</t>
  </si>
  <si>
    <t>Turdidae</t>
  </si>
  <si>
    <t>Invertebrates/earthworms</t>
  </si>
  <si>
    <t>Generalist</t>
  </si>
  <si>
    <t>Podlaskie Voivodeship</t>
  </si>
  <si>
    <t>Poland</t>
  </si>
  <si>
    <t>Brander et al. 2020</t>
  </si>
  <si>
    <t>Turdus philomelos</t>
  </si>
  <si>
    <t>Brehm, 1831</t>
  </si>
  <si>
    <t>Song Thrush</t>
  </si>
  <si>
    <t>Invertebrates/earthworms/fruits</t>
  </si>
  <si>
    <t>Food web transfer of plastics to an apex riverine predator</t>
  </si>
  <si>
    <t>DSouza et al_2020</t>
  </si>
  <si>
    <t>Cinclus cinclus</t>
  </si>
  <si>
    <t>White-throated Dipper</t>
  </si>
  <si>
    <t>Cinclidae</t>
  </si>
  <si>
    <t>freshwater insects/larvae/coastal invertebrates</t>
  </si>
  <si>
    <t>Insectivore</t>
  </si>
  <si>
    <t>Reverine</t>
  </si>
  <si>
    <t>South Wales</t>
  </si>
  <si>
    <t>United Kingdom</t>
  </si>
  <si>
    <t>NaOH</t>
  </si>
  <si>
    <t>Ormerod and Tyler 1991</t>
  </si>
  <si>
    <t>Plastic in Cassin's Auklets (Ptychoramphus aleuticus) from the 2014 stranding on the Northeast Paciﬁc Coast</t>
  </si>
  <si>
    <t>Floren and Shugart_2017</t>
  </si>
  <si>
    <t>Ptychoramphus aleuticus</t>
  </si>
  <si>
    <t>Pallas, 1811</t>
  </si>
  <si>
    <t>Cassin's Auklet</t>
  </si>
  <si>
    <t>NT</t>
  </si>
  <si>
    <t>Crustaceans/invertebrates/small larval fish</t>
  </si>
  <si>
    <t>Northern Pacific Coast</t>
  </si>
  <si>
    <t>Microplastics and other anthropogenic particles in Antarctica: Using penguins as biological samplers</t>
  </si>
  <si>
    <t>Fragao et al_2021</t>
  </si>
  <si>
    <t>Pygoscelis adeliae</t>
  </si>
  <si>
    <t>Hombron &amp; Jacquinot, 1841</t>
  </si>
  <si>
    <t>Adelie Penguin</t>
  </si>
  <si>
    <t>Sphenisciformes</t>
  </si>
  <si>
    <t>Spheniscidae</t>
  </si>
  <si>
    <t>krill/fish/amphipods/cephalopods/jellyfish</t>
  </si>
  <si>
    <t>Antartica Peninsula</t>
  </si>
  <si>
    <t>International territory</t>
  </si>
  <si>
    <t>Antarctica</t>
  </si>
  <si>
    <t>Bessa et al. 2018</t>
  </si>
  <si>
    <t>Pygoscelis antarcticus</t>
  </si>
  <si>
    <t>Forster, 1781</t>
  </si>
  <si>
    <t>Chinstrap Penguin</t>
  </si>
  <si>
    <t>krill/fish/crustaceans</t>
  </si>
  <si>
    <t>Pygoscelis papua</t>
  </si>
  <si>
    <t>Gentoo Penguin</t>
  </si>
  <si>
    <t>crustacean/fish/squid</t>
  </si>
  <si>
    <t>Incidence of plastic ingestion in seabirds from the Bay of Biscay (southwestern Europe)</t>
  </si>
  <si>
    <t>Franco et al_2019</t>
  </si>
  <si>
    <t>Uria aalge</t>
  </si>
  <si>
    <t>Pontoppidan, 1763</t>
  </si>
  <si>
    <t>Common Murre</t>
  </si>
  <si>
    <t>pelagic fish</t>
  </si>
  <si>
    <t>Bay of Biscay</t>
  </si>
  <si>
    <t>France &amp; Spain</t>
  </si>
  <si>
    <t>Franaker 2004; Franker 2011</t>
  </si>
  <si>
    <t>Morus bassanus</t>
  </si>
  <si>
    <t>Northern Gannet</t>
  </si>
  <si>
    <t>Sulidae</t>
  </si>
  <si>
    <t>Fratercula arctica</t>
  </si>
  <si>
    <t>Atlantic Puffin</t>
  </si>
  <si>
    <t>VU</t>
  </si>
  <si>
    <t>juvenile pelagic fish/planktonic crustacean/polychaete worms</t>
  </si>
  <si>
    <t>Rissa tridactyla</t>
  </si>
  <si>
    <t>Black-legged Kittiwake</t>
  </si>
  <si>
    <t>marine invertebrate/fish/intertidal molluscs/crustacean/earthworms/small mammals/plant matter</t>
  </si>
  <si>
    <t>Larus argentatus</t>
  </si>
  <si>
    <t>European Herring Gull</t>
  </si>
  <si>
    <t>fish/earthworms/crab/marine invertebrate</t>
  </si>
  <si>
    <t>Coastal</t>
  </si>
  <si>
    <t>Larus ridibundus</t>
  </si>
  <si>
    <t>Black-headed Gull</t>
  </si>
  <si>
    <t>earthworms/marine invertebrate/rodents/grains/fish</t>
  </si>
  <si>
    <t>Puffinus mauretanicus</t>
  </si>
  <si>
    <t>Lowe, 1921</t>
  </si>
  <si>
    <t>Balearic Shearwater</t>
  </si>
  <si>
    <t>CR</t>
  </si>
  <si>
    <t>pelagic fish/planktonic organisms</t>
  </si>
  <si>
    <t>Ardenna gravis</t>
  </si>
  <si>
    <t>O'Reilly, 1818</t>
  </si>
  <si>
    <t>Great Shearwater</t>
  </si>
  <si>
    <t>fish/squid/fish offal</t>
  </si>
  <si>
    <t>Microplastic accumulation in the gastrointestinal tracts of nestling and adult migratory birds</t>
  </si>
  <si>
    <t>Hoang et al_2022</t>
  </si>
  <si>
    <t>Tachycineta bicolor</t>
  </si>
  <si>
    <t>Vieillot, 1808</t>
  </si>
  <si>
    <t>Tree Swallow</t>
  </si>
  <si>
    <t>Hirundinidae</t>
  </si>
  <si>
    <t>cedar Creek, Cedarburg</t>
  </si>
  <si>
    <t>United states</t>
  </si>
  <si>
    <t>H2O2</t>
  </si>
  <si>
    <t>Canniff and Hoang 2018; Hoang and Felix-Kim 2020</t>
  </si>
  <si>
    <t>Estabrook Park</t>
  </si>
  <si>
    <t>Honey creek, Milwaukee</t>
  </si>
  <si>
    <t>Kinnickinnic River, Miwaukee</t>
  </si>
  <si>
    <t>Lincoln Park, Milwaukee</t>
  </si>
  <si>
    <t>Lakeshore State Park, Milwaukee</t>
  </si>
  <si>
    <t>North Avenue, Milwaukee</t>
  </si>
  <si>
    <t>Star Lake, Sayner</t>
  </si>
  <si>
    <t>Ursa Logistics, Milwaukee</t>
  </si>
  <si>
    <t>Leiothlypis peregrina</t>
  </si>
  <si>
    <t>Wilson, 1811</t>
  </si>
  <si>
    <t>Tennessee Warbler</t>
  </si>
  <si>
    <t>Parulidae</t>
  </si>
  <si>
    <t>Loyola University Chicago</t>
  </si>
  <si>
    <t>Junco hyemalis</t>
  </si>
  <si>
    <t>Dark-eyed Junco</t>
  </si>
  <si>
    <t>Passerellidae</t>
  </si>
  <si>
    <t>Granivore</t>
  </si>
  <si>
    <t>Catharus guttatus</t>
  </si>
  <si>
    <t>Hermit Thrush</t>
  </si>
  <si>
    <t>Zonotrichia albicollis</t>
  </si>
  <si>
    <t>Gmelin, 1789</t>
  </si>
  <si>
    <t>White-throated Sparrow</t>
  </si>
  <si>
    <t>Seiurus aurocapilla</t>
  </si>
  <si>
    <t>Ovenbird</t>
  </si>
  <si>
    <t>Plastics and other anthropogenic debris in freshwater birds from Canada</t>
  </si>
  <si>
    <t>Holland et al_2016</t>
  </si>
  <si>
    <t>Anser caerulescens</t>
  </si>
  <si>
    <t>Snow Goose</t>
  </si>
  <si>
    <t>roots/tubers/leaves/grasses/stems/seed/various aquatic plants</t>
  </si>
  <si>
    <t>Grassland</t>
  </si>
  <si>
    <t>Canada</t>
  </si>
  <si>
    <t>Franeker and Mejiboom 2002</t>
  </si>
  <si>
    <t>Branta canadensis</t>
  </si>
  <si>
    <t>Canada Goose</t>
  </si>
  <si>
    <t>palnt material/stems/leaves/tubers/fruits/seeds</t>
  </si>
  <si>
    <t>Herbivore terrestrial</t>
  </si>
  <si>
    <t>Mareca americana</t>
  </si>
  <si>
    <t>American Wigeon</t>
  </si>
  <si>
    <t>plants/insects/molluscs/crustacean/worms/fish</t>
  </si>
  <si>
    <t>Anas acuta</t>
  </si>
  <si>
    <t>Northern Pintail</t>
  </si>
  <si>
    <t>algae/seeds/tubers/aquatic insects/grassess/amphibians/small fish</t>
  </si>
  <si>
    <t>Melanitta deglandi</t>
  </si>
  <si>
    <t>Bonaparte, 1850</t>
  </si>
  <si>
    <t>White-winged Scoter</t>
  </si>
  <si>
    <t>Molluscs/crstacean/worms/echinoderm/amphipod/isopods/small fish/insects</t>
  </si>
  <si>
    <t>Somateria mollissima</t>
  </si>
  <si>
    <t>Common Eider</t>
  </si>
  <si>
    <t>benthic molluscs/crustacean/marine invertebrate/fish</t>
  </si>
  <si>
    <t>Gavia adamsii</t>
  </si>
  <si>
    <t>Gray, 1859</t>
  </si>
  <si>
    <t>Yellow-billed Loon</t>
  </si>
  <si>
    <t>Gaviiformes</t>
  </si>
  <si>
    <t>Gaviidae</t>
  </si>
  <si>
    <t>fish/crustacean/molluscs/marine annelids</t>
  </si>
  <si>
    <t>Plastic ingestion by Newell’s (Puffinus newelli) and wedge-tailed shearwaters (Ardenna pacifica) in Hawaii</t>
  </si>
  <si>
    <t>Kain et al_2016</t>
  </si>
  <si>
    <t>Puffinus newelli</t>
  </si>
  <si>
    <t>Henshaw, 1900</t>
  </si>
  <si>
    <t>Newell's Shearwater</t>
  </si>
  <si>
    <t>fish/squid</t>
  </si>
  <si>
    <t>Island of Kauai</t>
  </si>
  <si>
    <t>Ardenna pacifica</t>
  </si>
  <si>
    <t>Wedge-tailed Shearwater</t>
  </si>
  <si>
    <t>fish/cephalopods/crustacean/insects</t>
  </si>
  <si>
    <t>Marine debris ingestion by adults and ffedglings of Swinhoe’s storm petrels in the Republic of Korea</t>
  </si>
  <si>
    <t>Kim et al_2023</t>
  </si>
  <si>
    <t>Hydrobates monorhis</t>
  </si>
  <si>
    <t>Swinhoe, 1867</t>
  </si>
  <si>
    <t>Swinhoe's Storm-petrel</t>
  </si>
  <si>
    <t>Hydrobatidae</t>
  </si>
  <si>
    <t>Chilbal Island</t>
  </si>
  <si>
    <t>South Korea</t>
  </si>
  <si>
    <t>Documentation of microplastics in the gastrointestinal tracts of terrestrial raptors in central California, USA</t>
  </si>
  <si>
    <t>Leviner et al_2023</t>
  </si>
  <si>
    <t>Tyto alba</t>
  </si>
  <si>
    <t>Scopoli, 1769</t>
  </si>
  <si>
    <t>Common Barn-owl</t>
  </si>
  <si>
    <t>Tytonidae</t>
  </si>
  <si>
    <t>California’s central coast</t>
  </si>
  <si>
    <t>Kühn et al. 2017; Thiele et al. 2019</t>
  </si>
  <si>
    <t>Bubo virginianus</t>
  </si>
  <si>
    <t>Great Horned Owl</t>
  </si>
  <si>
    <t>Anthropogenic debris ingestion in a tropical seabird community: Insights from taxonomy and foraging distribution</t>
  </si>
  <si>
    <t>Matos et al_2023</t>
  </si>
  <si>
    <t>Bulweria bulwerii</t>
  </si>
  <si>
    <t>Jardine &amp; Selby, 1828</t>
  </si>
  <si>
    <t>Bulwer's Petrel</t>
  </si>
  <si>
    <t>squid/sea-spider</t>
  </si>
  <si>
    <t>Raso Islet</t>
  </si>
  <si>
    <t>Cape Verde</t>
  </si>
  <si>
    <t>Africa</t>
  </si>
  <si>
    <t>Bessa et al. 2019</t>
  </si>
  <si>
    <t>Puffinus lherminieri</t>
  </si>
  <si>
    <t>Lesson, 1839</t>
  </si>
  <si>
    <t>Audubon's Shearwater</t>
  </si>
  <si>
    <t>Fish/squid/crustaceans</t>
  </si>
  <si>
    <t>Calonectris edwardsii</t>
  </si>
  <si>
    <t>Oustalet, 1883</t>
  </si>
  <si>
    <t>Cape Verde Shearwater</t>
  </si>
  <si>
    <t>Phaethon aethereus</t>
  </si>
  <si>
    <t>Red-billed Tropicbird</t>
  </si>
  <si>
    <t>Phaethontiformes</t>
  </si>
  <si>
    <t>Phaethontidae</t>
  </si>
  <si>
    <t>Sula leucogaster</t>
  </si>
  <si>
    <t>Brown Booby</t>
  </si>
  <si>
    <t>The broader isotopic niche of Long-tailed Duck Clangula hyemalis implies a higher risk of ingesting plastic and non-plastic debris than for other diving seabirds</t>
  </si>
  <si>
    <t>Morkunas et al_2021</t>
  </si>
  <si>
    <t>Melanitta fusca</t>
  </si>
  <si>
    <t>Velvet Scoter</t>
  </si>
  <si>
    <t>mulluscs/crustacean/worms/echinoderm/amphipods/isopods/fish/insects</t>
  </si>
  <si>
    <t>South Eastern Baltic Sea</t>
  </si>
  <si>
    <t>Kaliningrad</t>
  </si>
  <si>
    <t>Lithuania</t>
  </si>
  <si>
    <t>2015-2019</t>
  </si>
  <si>
    <t>Van Franeker et al., 2005; Seif et al., 2018</t>
  </si>
  <si>
    <t>Melanitta nigra</t>
  </si>
  <si>
    <t>Common scoter</t>
  </si>
  <si>
    <t>Clangula hyemalis</t>
  </si>
  <si>
    <t>Long-tailed Duck</t>
  </si>
  <si>
    <t>Molluscs/crstacean/worms/amphipod/isopods/small fish/insects</t>
  </si>
  <si>
    <t>Gavia stellata</t>
  </si>
  <si>
    <t>Red-throated Loon</t>
  </si>
  <si>
    <t>fish/crustacean/molluscs/frog/aquatic insects/annelid worms/plant matter</t>
  </si>
  <si>
    <t>Podiceps cristatus</t>
  </si>
  <si>
    <t>Great Crested Grebe</t>
  </si>
  <si>
    <t>Podicipediformes</t>
  </si>
  <si>
    <t>Podicipedidae</t>
  </si>
  <si>
    <t>large fish/insects/crustacean/molluscs/amphibians</t>
  </si>
  <si>
    <t>Plastic debris ingestion by seabirds on the Korean Peninsula</t>
  </si>
  <si>
    <t>Nam et al_2021</t>
  </si>
  <si>
    <t>Mergus serrator</t>
  </si>
  <si>
    <t>Red-breasted Merganser</t>
  </si>
  <si>
    <t>freshwater fish/aquatic invertebrate/cristacean/worms/insects</t>
  </si>
  <si>
    <t>Korean Peninsula</t>
  </si>
  <si>
    <t>South Chungcheong</t>
  </si>
  <si>
    <t>2006-2019</t>
  </si>
  <si>
    <t>Provencher et al. 2019</t>
  </si>
  <si>
    <t>fish/insects/crustaceans/mulluscs/amphibians</t>
  </si>
  <si>
    <t>fish/crustacean/molluscs/frogs/aquatic insects/annelid worms</t>
  </si>
  <si>
    <t>Gavia arctica</t>
  </si>
  <si>
    <t>Arctic Loon</t>
  </si>
  <si>
    <t>fish/aquatic insects/molluscs/crustaceans/plant matter</t>
  </si>
  <si>
    <t>Gavia pacifica</t>
  </si>
  <si>
    <t>Lawrence, 1858</t>
  </si>
  <si>
    <t>Pacific Loon</t>
  </si>
  <si>
    <t>Loons(unidentified)</t>
  </si>
  <si>
    <t>Calonectris leucomelas</t>
  </si>
  <si>
    <t>Temminck, 1835</t>
  </si>
  <si>
    <t>Streaked Shearwater</t>
  </si>
  <si>
    <t>Phalacrocorax carbo</t>
  </si>
  <si>
    <t>Great Cormorant</t>
  </si>
  <si>
    <t>fish/crustacean/amphibian/molluscs/bird chicks</t>
  </si>
  <si>
    <t>Larus crassirostris</t>
  </si>
  <si>
    <t>Vieillot, 1818</t>
  </si>
  <si>
    <t>Black-tailed Gull</t>
  </si>
  <si>
    <t>fish/crustacean/insects/molluscs/polychaetes</t>
  </si>
  <si>
    <t>Synthliboramphus antiquus</t>
  </si>
  <si>
    <t>Ancient Murrelet</t>
  </si>
  <si>
    <t>Planktonic crustaceans/small fish</t>
  </si>
  <si>
    <t>Microplastics ingestion and chemical pollutants in seabirds of Gran Canaria (Canary Islands, Spain)</t>
  </si>
  <si>
    <t>Navarro et al_2023</t>
  </si>
  <si>
    <t>Calonectris borealis</t>
  </si>
  <si>
    <t>Cory, 1881</t>
  </si>
  <si>
    <t>Cory's Shearwater</t>
  </si>
  <si>
    <t>squid</t>
  </si>
  <si>
    <t>Tafira Wildlife Rehabilitation Center</t>
  </si>
  <si>
    <t>Spain</t>
  </si>
  <si>
    <t>2020-2021</t>
  </si>
  <si>
    <t>Hydrobates castro</t>
  </si>
  <si>
    <t>Harcourt, 1851</t>
  </si>
  <si>
    <t>Band-rumped Storm-petrel</t>
  </si>
  <si>
    <t>Planktonic crustaceans/fish/squid</t>
  </si>
  <si>
    <t>Larus michahellis</t>
  </si>
  <si>
    <t>J.F. Naumann, 1840</t>
  </si>
  <si>
    <t>Yellow-legged Gull</t>
  </si>
  <si>
    <t>fish/crabs/reptiles/mammals</t>
  </si>
  <si>
    <t>Bubulcus ibis</t>
  </si>
  <si>
    <t>Cattle Egret</t>
  </si>
  <si>
    <t>Ardeidae</t>
  </si>
  <si>
    <t>Insects/worms/crustaceans/spiders/frogs/molluscs/fish/lizzards/small bird/rodents/vegetable matter</t>
  </si>
  <si>
    <t>Plastic ingestion in aquatic-associated bird species in southern Portugal</t>
  </si>
  <si>
    <t>Nicastro et al_2018</t>
  </si>
  <si>
    <t>wildlife recovery center RIAS in Olhão</t>
  </si>
  <si>
    <t>Portugal</t>
  </si>
  <si>
    <t>2014-2016</t>
  </si>
  <si>
    <t>Larus fuscus</t>
  </si>
  <si>
    <t>Lesser Black-backed Gull</t>
  </si>
  <si>
    <t>fish/aquatic and terrestrial invertebrate/bird eggs/rodents/berries/grain</t>
  </si>
  <si>
    <t>Ciconia ciconia</t>
  </si>
  <si>
    <t>White Stork</t>
  </si>
  <si>
    <t>Ciconiiformes</t>
  </si>
  <si>
    <t>Ciconiidae</t>
  </si>
  <si>
    <t>small mammals/large insects/smphibians/snakes/lizards/fish</t>
  </si>
  <si>
    <t>The hidden cost of following currents: Microplastic ingestion in a planktivorous seabird</t>
  </si>
  <si>
    <t>Pascalis et al_2022</t>
  </si>
  <si>
    <t>Hydrobates pelagicus</t>
  </si>
  <si>
    <t>European Storm-petrel</t>
  </si>
  <si>
    <t>Sardinia</t>
  </si>
  <si>
    <t>Italy</t>
  </si>
  <si>
    <t>Prata et al. 2019</t>
  </si>
  <si>
    <t>Plastic pollution in the Labrador Sea: An assessment using the seabird northern fulmar Fulmarus glacialis as a biological monitoring species</t>
  </si>
  <si>
    <t>Avery-Gomm et al., 2018</t>
  </si>
  <si>
    <t>Eastern shore of Labrador</t>
  </si>
  <si>
    <t>Compound microscope</t>
  </si>
  <si>
    <t>Hidalgo-Ruz et al. 2012</t>
  </si>
  <si>
    <t>Garbage in guano? Microplastic debris found in faecal precursors of seabirds known to ingest plastics</t>
  </si>
  <si>
    <t>Provencher et al_2018</t>
  </si>
  <si>
    <t>Labrador Sea</t>
  </si>
  <si>
    <t>Masura et al. 2015</t>
  </si>
  <si>
    <t>Seabird plastic ingestion differs among collection methods: Examples from the short-tailed shearwater</t>
  </si>
  <si>
    <t>Rodriguez et al_2018</t>
  </si>
  <si>
    <t>Ardenna tenuirostris</t>
  </si>
  <si>
    <t>Short-tailed Shearwater</t>
  </si>
  <si>
    <t>fish/crustacean/squid</t>
  </si>
  <si>
    <t>Philip Island</t>
  </si>
  <si>
    <t>Australia</t>
  </si>
  <si>
    <t>Oceania</t>
  </si>
  <si>
    <t>2015-2016</t>
  </si>
  <si>
    <t>The potential of aerial insectivores for monitoring microplastics in terrestrial environments</t>
  </si>
  <si>
    <t>Sherlock et al_2022</t>
  </si>
  <si>
    <t>Tachicyneta bicolor</t>
  </si>
  <si>
    <t>Southern Ontario</t>
  </si>
  <si>
    <t>Stereomicroscope &amp; Raman</t>
  </si>
  <si>
    <t>Munno et al. 2018</t>
  </si>
  <si>
    <t>Bidirectional transfer of halogenated ﬂame retardants between the gastrointestinal tract and ingested plastics in urban-adapted ringbilled gulls</t>
  </si>
  <si>
    <t>Thaysen et al_2020</t>
  </si>
  <si>
    <t>Larus delawarensis</t>
  </si>
  <si>
    <t>Ord, 1815</t>
  </si>
  <si>
    <t>Ring-billed Gull</t>
  </si>
  <si>
    <t>fish/insects/earthworms/offal/crab/dates/fish eggs/grain/rodents/birds</t>
  </si>
  <si>
    <t>Deslauriers Island</t>
  </si>
  <si>
    <t>Stereomicroscope, Raman &amp; FTIR</t>
  </si>
  <si>
    <t>Airborne microplastics detected in the lungs of wild birds in Japan</t>
  </si>
  <si>
    <t>Tokunaga et al_2023</t>
  </si>
  <si>
    <t>Milvus migrans</t>
  </si>
  <si>
    <t>Black Kite</t>
  </si>
  <si>
    <t>little birds/mammals/fish/lizard/amphibians/invertebrates</t>
  </si>
  <si>
    <t>Tokyo Bay</t>
  </si>
  <si>
    <t>Japan</t>
  </si>
  <si>
    <t>Other</t>
  </si>
  <si>
    <t>μ-FTIR</t>
  </si>
  <si>
    <t>Leslie et al. 2022</t>
  </si>
  <si>
    <t>Seabirds and plastics don't mix: Examining the diﬀerences in marine plastic ingestion in wedge-tailed shearwater chicks at near-shore and oﬀshore locations</t>
  </si>
  <si>
    <t>Verlis et al_2018</t>
  </si>
  <si>
    <t>Heron Island</t>
  </si>
  <si>
    <t>Visual</t>
  </si>
  <si>
    <t>Franeker et al. 2004</t>
  </si>
  <si>
    <t>Availability and assessment of microplastic ingestion by marsh birds in Mississippi Gulf Coast tidal marshes</t>
  </si>
  <si>
    <t>Weitzel et al_2021</t>
  </si>
  <si>
    <t>Rallus crepitans</t>
  </si>
  <si>
    <t>Clapper Rail</t>
  </si>
  <si>
    <t>Gruiformes</t>
  </si>
  <si>
    <t>Rallidae</t>
  </si>
  <si>
    <t>Pearl</t>
  </si>
  <si>
    <t>Stomach Flushing</t>
  </si>
  <si>
    <t>Barrett et al. 2007</t>
  </si>
  <si>
    <t>Ammospiza maritima</t>
  </si>
  <si>
    <t>Seaside Sparrow</t>
  </si>
  <si>
    <t>Jourdan</t>
  </si>
  <si>
    <t>Microscopic anthropogenic litter in terrestrial birds from Shanghai, China: Not only plastics but also natural ﬁbers</t>
  </si>
  <si>
    <t>Zhao et al_2016</t>
  </si>
  <si>
    <t>Buteo buteo</t>
  </si>
  <si>
    <t>Eurasian Buzzard</t>
  </si>
  <si>
    <t>small mammals/invertebrates</t>
  </si>
  <si>
    <t>Wildlife rehabilitation center</t>
  </si>
  <si>
    <t>Shanghai</t>
  </si>
  <si>
    <t>China</t>
  </si>
  <si>
    <t>Esophagus</t>
  </si>
  <si>
    <t>Foekema et al. 2013; Franeker et al. 2011</t>
  </si>
  <si>
    <t>Falco tinnunculus</t>
  </si>
  <si>
    <t>Common Kestrel</t>
  </si>
  <si>
    <t>Falconiformes</t>
  </si>
  <si>
    <t>Falconidae</t>
  </si>
  <si>
    <t>Shrubland</t>
  </si>
  <si>
    <t>Hierococcyx sparverioides</t>
  </si>
  <si>
    <t>Vigors, 1831</t>
  </si>
  <si>
    <t>Large Hawk-Cuckoo</t>
  </si>
  <si>
    <t>Cuculiformes</t>
  </si>
  <si>
    <t>Cuculidae</t>
  </si>
  <si>
    <t>Tachybaptus ruficollis</t>
  </si>
  <si>
    <t>Pallas, 1764</t>
  </si>
  <si>
    <t>Little Grebe</t>
  </si>
  <si>
    <t>larval insects/molluscs/crustaceans/juvenile amphibians/small fish</t>
  </si>
  <si>
    <t>Calidris alpina</t>
  </si>
  <si>
    <t>Dunlin</t>
  </si>
  <si>
    <t>Scolopacidae</t>
  </si>
  <si>
    <t>insects/spiders/earthworms/smails/slugs/plant matter</t>
  </si>
  <si>
    <t>Actitis hypoleucos</t>
  </si>
  <si>
    <t>Common Sandpiper</t>
  </si>
  <si>
    <t>larval insects/spider/molluscs/crustaceans/annelids/amphibians</t>
  </si>
  <si>
    <t>Turdus obscurus</t>
  </si>
  <si>
    <t>Eyebrowed Thrush</t>
  </si>
  <si>
    <t>Turdus hortulorum</t>
  </si>
  <si>
    <t>Sclater, 1863</t>
  </si>
  <si>
    <t>Grey-backed Thrush</t>
  </si>
  <si>
    <t>Pica pica</t>
  </si>
  <si>
    <t>Eurasian Magpie</t>
  </si>
  <si>
    <t>Spilopelia chinensis</t>
  </si>
  <si>
    <t>Scopoli, 1786</t>
  </si>
  <si>
    <t>Eastern Spotted Dove</t>
  </si>
  <si>
    <t>Columbiformes</t>
  </si>
  <si>
    <t>Columbidae</t>
  </si>
  <si>
    <t>Transfer of Microplastics in Terrestrial and Aquatic Food Webs: The Impact of E‑Waste Debris and Ecological Traits</t>
  </si>
  <si>
    <t>Zheng et al_2023</t>
  </si>
  <si>
    <t>Pycnonotus sinensis</t>
  </si>
  <si>
    <t>Light-vented Bulbul</t>
  </si>
  <si>
    <t>Pycnonotidae</t>
  </si>
  <si>
    <t>Frugivore</t>
  </si>
  <si>
    <t>Village in South China</t>
  </si>
  <si>
    <t>Guangdong</t>
  </si>
  <si>
    <t>KOH &amp; NaCl</t>
  </si>
  <si>
    <t>Infrared imagine Spectrometer</t>
  </si>
  <si>
    <t>Pycnonotus aurigaster</t>
  </si>
  <si>
    <t>Sooty-headed Bulbul</t>
  </si>
  <si>
    <t>Lanius schach</t>
  </si>
  <si>
    <t>Long-tailed Shrike</t>
  </si>
  <si>
    <t>Laniidae</t>
  </si>
  <si>
    <t>Copsychus saularis</t>
  </si>
  <si>
    <t>Oriental Magpie-robin</t>
  </si>
  <si>
    <t>Muscicapidae</t>
  </si>
  <si>
    <t>Motacilla alba</t>
  </si>
  <si>
    <t>White Wagtail</t>
  </si>
  <si>
    <t>Motacillidae</t>
  </si>
  <si>
    <t>Parus major</t>
  </si>
  <si>
    <t>Great Tit</t>
  </si>
  <si>
    <t>Paridae</t>
  </si>
  <si>
    <t>insects/spiders/seed/fruit</t>
  </si>
  <si>
    <t>Gracupica nigricollis</t>
  </si>
  <si>
    <t>Paykull, 1807</t>
  </si>
  <si>
    <t>Black-collared Starling</t>
  </si>
  <si>
    <t>Sturnidae</t>
  </si>
  <si>
    <t>Turdus mandarinus</t>
  </si>
  <si>
    <t>Chinese Blackbird</t>
  </si>
  <si>
    <t>Grainivore</t>
  </si>
  <si>
    <t>Alcedo atthis</t>
  </si>
  <si>
    <t>Common Kingfisher</t>
  </si>
  <si>
    <t>Coraciiformes</t>
  </si>
  <si>
    <t>Alcedinidae</t>
  </si>
  <si>
    <t>fish/aquatic insects/butterflies and moths/amphibians/crayfish/prawns/isopods</t>
  </si>
  <si>
    <t>Plastic debris in marine birds from an island located in the South China Sea</t>
  </si>
  <si>
    <t>Zhu et al_2019</t>
  </si>
  <si>
    <t>Numenius phaeopus</t>
  </si>
  <si>
    <t>Whimbrel</t>
  </si>
  <si>
    <t>larval insects/spider/earthworms/mulluscs/polychaete worms/fish/reptiles</t>
  </si>
  <si>
    <t>yongxing Island</t>
  </si>
  <si>
    <t>Hainan</t>
  </si>
  <si>
    <t>Stereo Microscope &amp; FTIR</t>
  </si>
  <si>
    <t>Sula sula</t>
  </si>
  <si>
    <t>Red-footed Booby</t>
  </si>
  <si>
    <t>flying fish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</si>
</sst>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 numFmtId="181" formatCode="0.00_ "/>
  </numFmts>
  <fonts count="26">
    <font>
      <sz val="11"/>
      <color theme="1"/>
      <name val="Calibri"/>
      <charset val="134"/>
      <scheme val="minor"/>
    </font>
    <font>
      <i/>
      <sz val="11"/>
      <color theme="1"/>
      <name val="Calibri"/>
      <charset val="134"/>
      <scheme val="minor"/>
    </font>
    <font>
      <b/>
      <sz val="11"/>
      <name val="Calibri"/>
      <charset val="134"/>
      <scheme val="minor"/>
    </font>
    <font>
      <b/>
      <i/>
      <sz val="11"/>
      <name val="Calibri"/>
      <charset val="134"/>
      <scheme val="minor"/>
    </font>
    <font>
      <sz val="11"/>
      <name val="Calibri"/>
      <charset val="134"/>
      <scheme val="minor"/>
    </font>
    <font>
      <i/>
      <sz val="1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9">
    <xf numFmtId="0" fontId="0" fillId="0" borderId="0" xfId="0">
      <alignment vertical="center"/>
    </xf>
    <xf numFmtId="0" fontId="1" fillId="0" borderId="0" xfId="0" applyFont="1">
      <alignment vertical="center"/>
    </xf>
    <xf numFmtId="0" fontId="2" fillId="0" borderId="1" xfId="0" applyFont="1" applyFill="1" applyBorder="1" applyAlignment="1">
      <alignment horizontal="center" vertical="center"/>
    </xf>
    <xf numFmtId="0" fontId="2" fillId="0" borderId="1" xfId="0" applyFont="1" applyFill="1" applyBorder="1">
      <alignment vertical="center"/>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horizontal="center" vertical="center"/>
    </xf>
    <xf numFmtId="0" fontId="4" fillId="0" borderId="1" xfId="0" applyFont="1" applyFill="1" applyBorder="1">
      <alignment vertical="center"/>
    </xf>
    <xf numFmtId="0" fontId="5" fillId="0" borderId="1" xfId="0" applyFont="1" applyFill="1" applyBorder="1">
      <alignment vertical="center"/>
    </xf>
    <xf numFmtId="0" fontId="4" fillId="0" borderId="1" xfId="0" applyFont="1" applyFill="1" applyBorder="1">
      <alignment vertical="center"/>
    </xf>
    <xf numFmtId="0" fontId="2" fillId="0" borderId="1" xfId="0" applyFont="1" applyFill="1" applyBorder="1">
      <alignment vertical="center"/>
    </xf>
    <xf numFmtId="0" fontId="5" fillId="0" borderId="1" xfId="0" applyFont="1" applyFill="1" applyBorder="1">
      <alignment vertical="center"/>
    </xf>
    <xf numFmtId="180" fontId="4" fillId="0" borderId="1" xfId="0" applyNumberFormat="1" applyFont="1" applyFill="1" applyBorder="1" applyAlignment="1">
      <alignment horizontal="center" vertical="center"/>
    </xf>
    <xf numFmtId="181" fontId="4" fillId="0" borderId="1" xfId="0" applyNumberFormat="1" applyFont="1" applyFill="1" applyBorder="1" applyAlignment="1">
      <alignment horizontal="center" vertical="center"/>
    </xf>
    <xf numFmtId="181"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0" fontId="2" fillId="0" borderId="1" xfId="0" applyFont="1" applyFill="1" applyBorder="1" applyAlignment="1">
      <alignment vertical="center" wrapText="1"/>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Fill="1" applyBorder="1">
      <alignment vertical="center"/>
    </xf>
    <xf numFmtId="0" fontId="4" fillId="0" borderId="1" xfId="0" applyFont="1" applyFill="1" applyBorder="1" applyAlignment="1">
      <alignment horizontal="center" vertical="center"/>
    </xf>
    <xf numFmtId="0" fontId="4" fillId="0" borderId="1" xfId="0" applyFont="1" applyFill="1" applyBorder="1">
      <alignment vertical="center"/>
    </xf>
    <xf numFmtId="0" fontId="4" fillId="0" borderId="1" xfId="0" applyFont="1" applyFill="1" applyBorder="1" applyAlignment="1">
      <alignment vertical="center"/>
    </xf>
    <xf numFmtId="0" fontId="4" fillId="0" borderId="1" xfId="0" applyFont="1" applyFill="1" applyBorder="1" applyAlignment="1">
      <alignment vertical="center"/>
    </xf>
    <xf numFmtId="181" fontId="4" fillId="0" borderId="1" xfId="0" applyNumberFormat="1" applyFont="1" applyFill="1" applyBorder="1">
      <alignment vertical="center"/>
    </xf>
    <xf numFmtId="0" fontId="6" fillId="0" borderId="0" xfId="0" applyFont="1" applyFill="1" applyAlignment="1">
      <alignmen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topLeftCell="A13" workbookViewId="0">
      <selection activeCell="B14" sqref="B14"/>
    </sheetView>
  </sheetViews>
  <sheetFormatPr defaultColWidth="8.88888888888889" defaultRowHeight="14.4" outlineLevelCol="4"/>
  <cols>
    <col min="1" max="1" width="19.4444444444444" customWidth="1"/>
    <col min="2" max="2" width="44" customWidth="1"/>
    <col min="3" max="3" width="13.8888888888889" customWidth="1"/>
    <col min="5" max="5" width="22.7777777777778" customWidth="1"/>
  </cols>
  <sheetData>
    <row r="1" spans="1:5">
      <c r="A1" s="26" t="s">
        <v>0</v>
      </c>
      <c r="B1" s="26" t="s">
        <v>1</v>
      </c>
      <c r="C1" s="26" t="s">
        <v>2</v>
      </c>
      <c r="D1" s="26" t="s">
        <v>3</v>
      </c>
      <c r="E1" s="26" t="s">
        <v>4</v>
      </c>
    </row>
    <row r="2" spans="1:5">
      <c r="A2" s="27" t="s">
        <v>5</v>
      </c>
      <c r="B2" s="27" t="s">
        <v>6</v>
      </c>
      <c r="C2" s="27" t="s">
        <v>7</v>
      </c>
      <c r="D2" s="27"/>
      <c r="E2" s="27"/>
    </row>
    <row r="3" spans="1:5">
      <c r="A3" s="27" t="s">
        <v>8</v>
      </c>
      <c r="B3" s="27" t="s">
        <v>9</v>
      </c>
      <c r="C3" s="27" t="s">
        <v>10</v>
      </c>
      <c r="D3" s="27"/>
      <c r="E3" s="27"/>
    </row>
    <row r="4" spans="1:5">
      <c r="A4" s="27" t="s">
        <v>11</v>
      </c>
      <c r="B4" s="27" t="s">
        <v>12</v>
      </c>
      <c r="C4" s="27" t="s">
        <v>10</v>
      </c>
      <c r="D4" s="27"/>
      <c r="E4" s="27"/>
    </row>
    <row r="5" spans="1:5">
      <c r="A5" s="27" t="s">
        <v>13</v>
      </c>
      <c r="B5" s="27" t="s">
        <v>14</v>
      </c>
      <c r="C5" s="27" t="s">
        <v>15</v>
      </c>
      <c r="D5" s="27"/>
      <c r="E5" s="27"/>
    </row>
    <row r="6" spans="1:5">
      <c r="A6" s="27" t="s">
        <v>16</v>
      </c>
      <c r="B6" s="27" t="s">
        <v>17</v>
      </c>
      <c r="C6" s="27" t="s">
        <v>18</v>
      </c>
      <c r="D6" s="27" t="s">
        <v>19</v>
      </c>
      <c r="E6" s="27"/>
    </row>
    <row r="7" spans="1:5">
      <c r="A7" s="27" t="s">
        <v>20</v>
      </c>
      <c r="B7" s="27" t="s">
        <v>21</v>
      </c>
      <c r="C7" s="27" t="s">
        <v>18</v>
      </c>
      <c r="D7" s="27" t="s">
        <v>19</v>
      </c>
      <c r="E7" s="27"/>
    </row>
    <row r="8" ht="28.8" spans="1:5">
      <c r="A8" s="28" t="s">
        <v>22</v>
      </c>
      <c r="B8" s="28" t="s">
        <v>23</v>
      </c>
      <c r="C8" s="28" t="s">
        <v>18</v>
      </c>
      <c r="D8" s="28" t="s">
        <v>19</v>
      </c>
      <c r="E8" s="27"/>
    </row>
    <row r="9" ht="28.8" spans="1:5">
      <c r="A9" s="28" t="s">
        <v>24</v>
      </c>
      <c r="B9" s="28" t="s">
        <v>25</v>
      </c>
      <c r="C9" s="28" t="s">
        <v>18</v>
      </c>
      <c r="D9" s="28" t="s">
        <v>26</v>
      </c>
      <c r="E9" s="27"/>
    </row>
    <row r="10" ht="115.2" spans="1:5">
      <c r="A10" s="28" t="s">
        <v>27</v>
      </c>
      <c r="B10" s="29" t="s">
        <v>28</v>
      </c>
      <c r="C10" s="28" t="s">
        <v>29</v>
      </c>
      <c r="D10" s="28"/>
      <c r="E10" s="28" t="s">
        <v>30</v>
      </c>
    </row>
    <row r="11" ht="374.4" spans="1:5">
      <c r="A11" s="28" t="s">
        <v>31</v>
      </c>
      <c r="B11" s="29" t="s">
        <v>32</v>
      </c>
      <c r="C11" s="28" t="s">
        <v>29</v>
      </c>
      <c r="D11" s="28"/>
      <c r="E11" s="28" t="s">
        <v>30</v>
      </c>
    </row>
    <row r="12" ht="409.5" spans="1:5">
      <c r="A12" s="28" t="s">
        <v>33</v>
      </c>
      <c r="B12" s="28" t="s">
        <v>34</v>
      </c>
      <c r="C12" s="28" t="s">
        <v>29</v>
      </c>
      <c r="D12" s="28"/>
      <c r="E12" s="28" t="s">
        <v>35</v>
      </c>
    </row>
    <row r="13" ht="144" spans="1:5">
      <c r="A13" s="28" t="s">
        <v>36</v>
      </c>
      <c r="B13" s="28" t="s">
        <v>37</v>
      </c>
      <c r="C13" s="28" t="s">
        <v>38</v>
      </c>
      <c r="D13" s="28"/>
      <c r="E13" s="28" t="s">
        <v>39</v>
      </c>
    </row>
    <row r="14" ht="100.8" spans="1:5">
      <c r="A14" s="28" t="s">
        <v>40</v>
      </c>
      <c r="B14" s="28" t="s">
        <v>41</v>
      </c>
      <c r="C14" s="28" t="s">
        <v>38</v>
      </c>
      <c r="D14" s="28"/>
      <c r="E14" s="28" t="s">
        <v>42</v>
      </c>
    </row>
    <row r="15" ht="244.8" spans="1:5">
      <c r="A15" s="28" t="s">
        <v>43</v>
      </c>
      <c r="B15" s="28" t="s">
        <v>44</v>
      </c>
      <c r="C15" s="28" t="s">
        <v>29</v>
      </c>
      <c r="D15" s="28"/>
      <c r="E15" s="28"/>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77"/>
  <sheetViews>
    <sheetView tabSelected="1" zoomScale="70" zoomScaleNormal="70" topLeftCell="A72" workbookViewId="0">
      <selection activeCell="AA127" sqref="AA127"/>
    </sheetView>
  </sheetViews>
  <sheetFormatPr defaultColWidth="8.88888888888889" defaultRowHeight="14.4"/>
  <cols>
    <col min="4" max="4" width="25.5555555555556" style="1" customWidth="1"/>
    <col min="16" max="16" width="9.66666666666667"/>
    <col min="40" max="40" width="9.66666666666667"/>
  </cols>
  <sheetData>
    <row r="1" ht="43.2" spans="1:40">
      <c r="A1" s="2" t="s">
        <v>45</v>
      </c>
      <c r="B1" s="3" t="s">
        <v>8</v>
      </c>
      <c r="C1" s="4" t="s">
        <v>11</v>
      </c>
      <c r="D1" s="5" t="s">
        <v>13</v>
      </c>
      <c r="E1" s="4" t="s">
        <v>46</v>
      </c>
      <c r="F1" s="4" t="s">
        <v>47</v>
      </c>
      <c r="G1" s="4" t="s">
        <v>48</v>
      </c>
      <c r="H1" s="4" t="s">
        <v>49</v>
      </c>
      <c r="I1" s="4" t="s">
        <v>50</v>
      </c>
      <c r="J1" s="4" t="s">
        <v>51</v>
      </c>
      <c r="K1" s="4" t="s">
        <v>52</v>
      </c>
      <c r="L1" s="4" t="s">
        <v>53</v>
      </c>
      <c r="M1" s="4" t="s">
        <v>54</v>
      </c>
      <c r="N1" s="4" t="s">
        <v>55</v>
      </c>
      <c r="O1" s="4" t="s">
        <v>56</v>
      </c>
      <c r="P1" s="4" t="s">
        <v>57</v>
      </c>
      <c r="Q1" s="4" t="s">
        <v>58</v>
      </c>
      <c r="R1" s="4" t="s">
        <v>59</v>
      </c>
      <c r="S1" s="16" t="s">
        <v>16</v>
      </c>
      <c r="T1" s="16" t="s">
        <v>20</v>
      </c>
      <c r="U1" s="16" t="s">
        <v>22</v>
      </c>
      <c r="V1" s="16" t="s">
        <v>24</v>
      </c>
      <c r="W1" s="16" t="s">
        <v>27</v>
      </c>
      <c r="X1" s="16" t="s">
        <v>31</v>
      </c>
      <c r="Y1" s="16" t="s">
        <v>33</v>
      </c>
      <c r="Z1" s="16" t="s">
        <v>36</v>
      </c>
      <c r="AA1" s="16" t="s">
        <v>40</v>
      </c>
      <c r="AB1" s="16" t="s">
        <v>43</v>
      </c>
      <c r="AC1" s="4" t="s">
        <v>60</v>
      </c>
      <c r="AD1" s="4" t="s">
        <v>61</v>
      </c>
      <c r="AE1" s="4" t="s">
        <v>62</v>
      </c>
      <c r="AF1" s="4" t="s">
        <v>63</v>
      </c>
      <c r="AG1" s="4" t="s">
        <v>64</v>
      </c>
      <c r="AH1" s="4" t="s">
        <v>65</v>
      </c>
      <c r="AI1" s="19" t="s">
        <v>66</v>
      </c>
      <c r="AJ1" s="4" t="s">
        <v>67</v>
      </c>
      <c r="AK1" s="4" t="s">
        <v>68</v>
      </c>
      <c r="AL1" s="4" t="s">
        <v>69</v>
      </c>
      <c r="AM1" s="4" t="s">
        <v>70</v>
      </c>
      <c r="AN1" s="20" t="s">
        <v>71</v>
      </c>
    </row>
    <row r="2" spans="1:40">
      <c r="A2" s="6" cm="1">
        <f t="array" ref="A2">IF(COUNTIF(B$2:B2,B2)&gt;1,INDEX(A$1:A1,MATCH(B2,B$1:B1,0)),MAX(A$1:A1)+1)</f>
        <v>1</v>
      </c>
      <c r="B2" s="7" t="s">
        <v>72</v>
      </c>
      <c r="C2" s="3" t="s">
        <v>73</v>
      </c>
      <c r="D2" s="8" t="s">
        <v>74</v>
      </c>
      <c r="E2" s="7"/>
      <c r="F2" s="7" t="s">
        <v>75</v>
      </c>
      <c r="G2" s="7" t="s">
        <v>76</v>
      </c>
      <c r="H2" s="7" t="s">
        <v>77</v>
      </c>
      <c r="I2" s="7" t="s">
        <v>78</v>
      </c>
      <c r="J2" s="7" t="s">
        <v>79</v>
      </c>
      <c r="K2" s="7" t="s">
        <v>80</v>
      </c>
      <c r="L2" s="7"/>
      <c r="M2" s="7" t="s">
        <v>81</v>
      </c>
      <c r="N2" s="12">
        <v>3050</v>
      </c>
      <c r="O2" s="12"/>
      <c r="P2" s="13">
        <v>2580.2</v>
      </c>
      <c r="Q2" s="13"/>
      <c r="R2" s="13"/>
      <c r="S2" s="13">
        <v>30.9</v>
      </c>
      <c r="T2" s="13">
        <v>8.9</v>
      </c>
      <c r="U2" s="13">
        <v>218.2</v>
      </c>
      <c r="V2" s="13">
        <v>751.7</v>
      </c>
      <c r="W2" s="13" t="s">
        <v>82</v>
      </c>
      <c r="X2" s="13" t="s">
        <v>81</v>
      </c>
      <c r="Y2" s="13" t="s">
        <v>83</v>
      </c>
      <c r="Z2" s="17">
        <v>1</v>
      </c>
      <c r="AA2" s="17">
        <v>1</v>
      </c>
      <c r="AB2" s="13" t="s">
        <v>84</v>
      </c>
      <c r="AC2" s="13">
        <v>72.353461</v>
      </c>
      <c r="AD2" s="13">
        <v>31.327193</v>
      </c>
      <c r="AE2" s="7"/>
      <c r="AF2" s="7" t="s">
        <v>85</v>
      </c>
      <c r="AG2" s="7" t="s">
        <v>86</v>
      </c>
      <c r="AH2" s="7" t="s">
        <v>87</v>
      </c>
      <c r="AI2" s="21">
        <v>2022</v>
      </c>
      <c r="AJ2" s="7" t="s">
        <v>88</v>
      </c>
      <c r="AK2" s="9" t="s">
        <v>89</v>
      </c>
      <c r="AL2" s="9" t="s">
        <v>90</v>
      </c>
      <c r="AM2" s="9"/>
      <c r="AN2" s="22">
        <v>17.8</v>
      </c>
    </row>
    <row r="3" spans="1:40">
      <c r="A3" s="6" cm="1">
        <f t="array" ref="A3">IF(COUNTIF(B$2:B3,B3)&gt;1,INDEX(A$1:A2,MATCH(B3,B$1:B2,0)),MAX(A$1:A2)+1)</f>
        <v>1</v>
      </c>
      <c r="B3" s="9" t="s">
        <v>72</v>
      </c>
      <c r="C3" s="10" t="s">
        <v>73</v>
      </c>
      <c r="D3" s="11" t="s">
        <v>74</v>
      </c>
      <c r="E3" s="9"/>
      <c r="F3" s="9" t="s">
        <v>75</v>
      </c>
      <c r="G3" s="9" t="s">
        <v>76</v>
      </c>
      <c r="H3" s="9" t="s">
        <v>77</v>
      </c>
      <c r="I3" s="9" t="s">
        <v>78</v>
      </c>
      <c r="J3" s="9" t="s">
        <v>79</v>
      </c>
      <c r="K3" s="9" t="s">
        <v>80</v>
      </c>
      <c r="L3" s="9"/>
      <c r="M3" s="9" t="s">
        <v>81</v>
      </c>
      <c r="N3" s="12">
        <v>3050</v>
      </c>
      <c r="O3" s="12"/>
      <c r="P3" s="14">
        <v>2580.2</v>
      </c>
      <c r="Q3" s="14"/>
      <c r="R3" s="14"/>
      <c r="S3" s="14">
        <v>30.9</v>
      </c>
      <c r="T3" s="14">
        <v>8.9</v>
      </c>
      <c r="U3" s="14">
        <v>218.2</v>
      </c>
      <c r="V3" s="14">
        <v>751.7</v>
      </c>
      <c r="W3" s="14" t="s">
        <v>82</v>
      </c>
      <c r="X3" s="14" t="s">
        <v>81</v>
      </c>
      <c r="Y3" s="14" t="s">
        <v>83</v>
      </c>
      <c r="Z3" s="18">
        <v>1</v>
      </c>
      <c r="AA3" s="18">
        <v>1</v>
      </c>
      <c r="AB3" s="14" t="s">
        <v>84</v>
      </c>
      <c r="AC3" s="14">
        <v>72.353461</v>
      </c>
      <c r="AD3" s="14">
        <v>31.327193</v>
      </c>
      <c r="AE3" s="9"/>
      <c r="AF3" s="9" t="s">
        <v>85</v>
      </c>
      <c r="AG3" s="9" t="s">
        <v>86</v>
      </c>
      <c r="AH3" s="9" t="s">
        <v>87</v>
      </c>
      <c r="AI3" s="6">
        <v>2022</v>
      </c>
      <c r="AJ3" s="9" t="s">
        <v>91</v>
      </c>
      <c r="AK3" s="9" t="s">
        <v>89</v>
      </c>
      <c r="AL3" s="9" t="s">
        <v>90</v>
      </c>
      <c r="AM3" s="9"/>
      <c r="AN3" s="22">
        <v>33.25</v>
      </c>
    </row>
    <row r="4" spans="1:40">
      <c r="A4" s="6" cm="1">
        <f t="array" ref="A4">IF(COUNTIF(B$2:B4,B4)&gt;1,INDEX(A$1:A3,MATCH(B4,B$1:B3,0)),MAX(A$1:A3)+1)</f>
        <v>1</v>
      </c>
      <c r="B4" s="7" t="s">
        <v>72</v>
      </c>
      <c r="C4" s="3" t="s">
        <v>73</v>
      </c>
      <c r="D4" s="8" t="s">
        <v>74</v>
      </c>
      <c r="E4" s="7"/>
      <c r="F4" s="7" t="s">
        <v>75</v>
      </c>
      <c r="G4" s="7" t="s">
        <v>76</v>
      </c>
      <c r="H4" s="7" t="s">
        <v>77</v>
      </c>
      <c r="I4" s="7" t="s">
        <v>78</v>
      </c>
      <c r="J4" s="7" t="s">
        <v>79</v>
      </c>
      <c r="K4" s="7" t="s">
        <v>80</v>
      </c>
      <c r="L4" s="7"/>
      <c r="M4" s="7" t="s">
        <v>81</v>
      </c>
      <c r="N4" s="12">
        <v>3050</v>
      </c>
      <c r="O4" s="12"/>
      <c r="P4" s="13">
        <v>2580.2</v>
      </c>
      <c r="Q4" s="13"/>
      <c r="R4" s="13"/>
      <c r="S4" s="13">
        <v>30.9</v>
      </c>
      <c r="T4" s="13">
        <v>8.9</v>
      </c>
      <c r="U4" s="13">
        <v>218.2</v>
      </c>
      <c r="V4" s="13">
        <v>751.7</v>
      </c>
      <c r="W4" s="13" t="s">
        <v>82</v>
      </c>
      <c r="X4" s="13" t="s">
        <v>81</v>
      </c>
      <c r="Y4" s="13" t="s">
        <v>83</v>
      </c>
      <c r="Z4" s="17">
        <v>1</v>
      </c>
      <c r="AA4" s="17">
        <v>1</v>
      </c>
      <c r="AB4" s="13" t="s">
        <v>84</v>
      </c>
      <c r="AC4" s="13">
        <v>72.353461</v>
      </c>
      <c r="AD4" s="13">
        <v>31.327193</v>
      </c>
      <c r="AE4" s="7"/>
      <c r="AF4" s="7" t="s">
        <v>85</v>
      </c>
      <c r="AG4" s="7" t="s">
        <v>86</v>
      </c>
      <c r="AH4" s="7" t="s">
        <v>87</v>
      </c>
      <c r="AI4" s="21">
        <v>2022</v>
      </c>
      <c r="AJ4" s="7" t="s">
        <v>88</v>
      </c>
      <c r="AK4" s="9" t="s">
        <v>89</v>
      </c>
      <c r="AL4" s="9" t="s">
        <v>90</v>
      </c>
      <c r="AM4" s="9"/>
      <c r="AN4" s="22">
        <v>11.452</v>
      </c>
    </row>
    <row r="5" spans="1:40">
      <c r="A5" s="6" cm="1">
        <f t="array" ref="A5">IF(COUNTIF(B$2:B5,B5)&gt;1,INDEX(A$1:A4,MATCH(B5,B$1:B4,0)),MAX(A$1:A4)+1)</f>
        <v>1</v>
      </c>
      <c r="B5" s="9" t="s">
        <v>72</v>
      </c>
      <c r="C5" s="10" t="s">
        <v>73</v>
      </c>
      <c r="D5" s="11" t="s">
        <v>74</v>
      </c>
      <c r="E5" s="9"/>
      <c r="F5" s="9" t="s">
        <v>75</v>
      </c>
      <c r="G5" s="9" t="s">
        <v>76</v>
      </c>
      <c r="H5" s="9" t="s">
        <v>77</v>
      </c>
      <c r="I5" s="9" t="s">
        <v>78</v>
      </c>
      <c r="J5" s="9" t="s">
        <v>79</v>
      </c>
      <c r="K5" s="9" t="s">
        <v>80</v>
      </c>
      <c r="L5" s="9"/>
      <c r="M5" s="9" t="s">
        <v>81</v>
      </c>
      <c r="N5" s="12">
        <v>3050</v>
      </c>
      <c r="O5" s="12"/>
      <c r="P5" s="14">
        <v>2580.2</v>
      </c>
      <c r="Q5" s="14"/>
      <c r="R5" s="14"/>
      <c r="S5" s="14">
        <v>30.9</v>
      </c>
      <c r="T5" s="14">
        <v>8.9</v>
      </c>
      <c r="U5" s="14">
        <v>218.2</v>
      </c>
      <c r="V5" s="14">
        <v>751.7</v>
      </c>
      <c r="W5" s="14" t="s">
        <v>82</v>
      </c>
      <c r="X5" s="14" t="s">
        <v>81</v>
      </c>
      <c r="Y5" s="14" t="s">
        <v>83</v>
      </c>
      <c r="Z5" s="18">
        <v>1</v>
      </c>
      <c r="AA5" s="18">
        <v>1</v>
      </c>
      <c r="AB5" s="14" t="s">
        <v>84</v>
      </c>
      <c r="AC5" s="14">
        <v>72.353461</v>
      </c>
      <c r="AD5" s="14">
        <v>31.327193</v>
      </c>
      <c r="AE5" s="9"/>
      <c r="AF5" s="9" t="s">
        <v>85</v>
      </c>
      <c r="AG5" s="9" t="s">
        <v>86</v>
      </c>
      <c r="AH5" s="9" t="s">
        <v>87</v>
      </c>
      <c r="AI5" s="6">
        <v>2022</v>
      </c>
      <c r="AJ5" s="7" t="s">
        <v>88</v>
      </c>
      <c r="AK5" s="9" t="s">
        <v>89</v>
      </c>
      <c r="AL5" s="9" t="s">
        <v>90</v>
      </c>
      <c r="AM5" s="9"/>
      <c r="AN5" s="22">
        <v>17.18</v>
      </c>
    </row>
    <row r="6" spans="1:40">
      <c r="A6" s="6" cm="1">
        <f t="array" ref="A6">IF(COUNTIF(B$2:B6,B6)&gt;1,INDEX(A$1:A5,MATCH(B6,B$1:B5,0)),MAX(A$1:A5)+1)</f>
        <v>1</v>
      </c>
      <c r="B6" s="7" t="s">
        <v>72</v>
      </c>
      <c r="C6" s="3" t="s">
        <v>73</v>
      </c>
      <c r="D6" s="8" t="s">
        <v>74</v>
      </c>
      <c r="E6" s="7"/>
      <c r="F6" s="7" t="s">
        <v>75</v>
      </c>
      <c r="G6" s="7" t="s">
        <v>76</v>
      </c>
      <c r="H6" s="7" t="s">
        <v>77</v>
      </c>
      <c r="I6" s="7" t="s">
        <v>78</v>
      </c>
      <c r="J6" s="7" t="s">
        <v>79</v>
      </c>
      <c r="K6" s="7" t="s">
        <v>80</v>
      </c>
      <c r="L6" s="7"/>
      <c r="M6" s="7" t="s">
        <v>81</v>
      </c>
      <c r="N6" s="12">
        <v>3050</v>
      </c>
      <c r="O6" s="12"/>
      <c r="P6" s="13">
        <v>2580.2</v>
      </c>
      <c r="Q6" s="13"/>
      <c r="R6" s="13"/>
      <c r="S6" s="13">
        <v>30.9</v>
      </c>
      <c r="T6" s="13">
        <v>8.9</v>
      </c>
      <c r="U6" s="13">
        <v>218.2</v>
      </c>
      <c r="V6" s="13">
        <v>751.7</v>
      </c>
      <c r="W6" s="13" t="s">
        <v>82</v>
      </c>
      <c r="X6" s="13" t="s">
        <v>81</v>
      </c>
      <c r="Y6" s="13" t="s">
        <v>83</v>
      </c>
      <c r="Z6" s="17">
        <v>1</v>
      </c>
      <c r="AA6" s="17">
        <v>1</v>
      </c>
      <c r="AB6" s="13" t="s">
        <v>84</v>
      </c>
      <c r="AC6" s="13">
        <v>72.353461</v>
      </c>
      <c r="AD6" s="13">
        <v>31.327193</v>
      </c>
      <c r="AE6" s="7"/>
      <c r="AF6" s="7" t="s">
        <v>85</v>
      </c>
      <c r="AG6" s="7" t="s">
        <v>86</v>
      </c>
      <c r="AH6" s="7" t="s">
        <v>87</v>
      </c>
      <c r="AI6" s="21">
        <v>2022</v>
      </c>
      <c r="AJ6" s="7" t="s">
        <v>88</v>
      </c>
      <c r="AK6" s="9" t="s">
        <v>89</v>
      </c>
      <c r="AL6" s="9" t="s">
        <v>90</v>
      </c>
      <c r="AM6" s="9"/>
      <c r="AN6" s="22">
        <v>11.548</v>
      </c>
    </row>
    <row r="7" spans="1:40">
      <c r="A7" s="6" cm="1">
        <f t="array" ref="A7">IF(COUNTIF(B$2:B7,B7)&gt;1,INDEX(A$1:A6,MATCH(B7,B$1:B6,0)),MAX(A$1:A6)+1)</f>
        <v>1</v>
      </c>
      <c r="B7" s="9" t="s">
        <v>72</v>
      </c>
      <c r="C7" s="10" t="s">
        <v>73</v>
      </c>
      <c r="D7" s="11" t="s">
        <v>74</v>
      </c>
      <c r="E7" s="9"/>
      <c r="F7" s="9" t="s">
        <v>75</v>
      </c>
      <c r="G7" s="9" t="s">
        <v>76</v>
      </c>
      <c r="H7" s="9" t="s">
        <v>77</v>
      </c>
      <c r="I7" s="9" t="s">
        <v>78</v>
      </c>
      <c r="J7" s="9" t="s">
        <v>79</v>
      </c>
      <c r="K7" s="9" t="s">
        <v>80</v>
      </c>
      <c r="L7" s="9"/>
      <c r="M7" s="9" t="s">
        <v>81</v>
      </c>
      <c r="N7" s="12">
        <v>3050</v>
      </c>
      <c r="O7" s="12"/>
      <c r="P7" s="14">
        <v>2580.2</v>
      </c>
      <c r="Q7" s="14"/>
      <c r="R7" s="14"/>
      <c r="S7" s="14">
        <v>30.9</v>
      </c>
      <c r="T7" s="14">
        <v>8.9</v>
      </c>
      <c r="U7" s="14">
        <v>218.2</v>
      </c>
      <c r="V7" s="14">
        <v>751.7</v>
      </c>
      <c r="W7" s="14" t="s">
        <v>82</v>
      </c>
      <c r="X7" s="14" t="s">
        <v>81</v>
      </c>
      <c r="Y7" s="14" t="s">
        <v>83</v>
      </c>
      <c r="Z7" s="18">
        <v>1</v>
      </c>
      <c r="AA7" s="18">
        <v>1</v>
      </c>
      <c r="AB7" s="14" t="s">
        <v>84</v>
      </c>
      <c r="AC7" s="14">
        <v>72.353461</v>
      </c>
      <c r="AD7" s="14">
        <v>31.327193</v>
      </c>
      <c r="AE7" s="9"/>
      <c r="AF7" s="9" t="s">
        <v>85</v>
      </c>
      <c r="AG7" s="9" t="s">
        <v>86</v>
      </c>
      <c r="AH7" s="9" t="s">
        <v>87</v>
      </c>
      <c r="AI7" s="6">
        <v>2022</v>
      </c>
      <c r="AJ7" s="7" t="s">
        <v>88</v>
      </c>
      <c r="AK7" s="9" t="s">
        <v>89</v>
      </c>
      <c r="AL7" s="9" t="s">
        <v>90</v>
      </c>
      <c r="AM7" s="9"/>
      <c r="AN7" s="22">
        <v>14.79</v>
      </c>
    </row>
    <row r="8" spans="1:40">
      <c r="A8" s="6" cm="1">
        <f t="array" ref="A8">IF(COUNTIF(B$2:B8,B8)&gt;1,INDEX(A$1:A7,MATCH(B8,B$1:B7,0)),MAX(A$1:A7)+1)</f>
        <v>1</v>
      </c>
      <c r="B8" s="7" t="s">
        <v>72</v>
      </c>
      <c r="C8" s="3" t="s">
        <v>73</v>
      </c>
      <c r="D8" s="8" t="s">
        <v>74</v>
      </c>
      <c r="E8" s="7"/>
      <c r="F8" s="7" t="s">
        <v>75</v>
      </c>
      <c r="G8" s="7" t="s">
        <v>76</v>
      </c>
      <c r="H8" s="7" t="s">
        <v>77</v>
      </c>
      <c r="I8" s="7" t="s">
        <v>78</v>
      </c>
      <c r="J8" s="7" t="s">
        <v>79</v>
      </c>
      <c r="K8" s="7" t="s">
        <v>80</v>
      </c>
      <c r="L8" s="7"/>
      <c r="M8" s="7" t="s">
        <v>81</v>
      </c>
      <c r="N8" s="12">
        <v>3050</v>
      </c>
      <c r="O8" s="12"/>
      <c r="P8" s="13">
        <v>2580.2</v>
      </c>
      <c r="Q8" s="13"/>
      <c r="R8" s="13"/>
      <c r="S8" s="13">
        <v>30.9</v>
      </c>
      <c r="T8" s="13">
        <v>8.9</v>
      </c>
      <c r="U8" s="13">
        <v>218.2</v>
      </c>
      <c r="V8" s="13">
        <v>751.7</v>
      </c>
      <c r="W8" s="13" t="s">
        <v>82</v>
      </c>
      <c r="X8" s="13" t="s">
        <v>81</v>
      </c>
      <c r="Y8" s="13" t="s">
        <v>83</v>
      </c>
      <c r="Z8" s="17">
        <v>1</v>
      </c>
      <c r="AA8" s="17">
        <v>1</v>
      </c>
      <c r="AB8" s="13" t="s">
        <v>84</v>
      </c>
      <c r="AC8" s="13">
        <v>72.353461</v>
      </c>
      <c r="AD8" s="13">
        <v>31.327193</v>
      </c>
      <c r="AE8" s="7"/>
      <c r="AF8" s="7" t="s">
        <v>85</v>
      </c>
      <c r="AG8" s="7" t="s">
        <v>86</v>
      </c>
      <c r="AH8" s="7" t="s">
        <v>87</v>
      </c>
      <c r="AI8" s="21">
        <v>2022</v>
      </c>
      <c r="AJ8" s="7" t="s">
        <v>88</v>
      </c>
      <c r="AK8" s="9" t="s">
        <v>89</v>
      </c>
      <c r="AL8" s="9" t="s">
        <v>90</v>
      </c>
      <c r="AM8" s="9"/>
      <c r="AN8" s="22">
        <v>16.22</v>
      </c>
    </row>
    <row r="9" spans="1:40">
      <c r="A9" s="6" cm="1">
        <f t="array" ref="A9">IF(COUNTIF(B$2:B9,B9)&gt;1,INDEX(A$1:A8,MATCH(B9,B$1:B8,0)),MAX(A$1:A8)+1)</f>
        <v>1</v>
      </c>
      <c r="B9" s="9" t="s">
        <v>72</v>
      </c>
      <c r="C9" s="10" t="s">
        <v>73</v>
      </c>
      <c r="D9" s="11" t="s">
        <v>74</v>
      </c>
      <c r="E9" s="9"/>
      <c r="F9" s="9" t="s">
        <v>75</v>
      </c>
      <c r="G9" s="9" t="s">
        <v>76</v>
      </c>
      <c r="H9" s="9" t="s">
        <v>77</v>
      </c>
      <c r="I9" s="9" t="s">
        <v>78</v>
      </c>
      <c r="J9" s="9" t="s">
        <v>79</v>
      </c>
      <c r="K9" s="9" t="s">
        <v>80</v>
      </c>
      <c r="L9" s="9"/>
      <c r="M9" s="9" t="s">
        <v>81</v>
      </c>
      <c r="N9" s="12">
        <v>3050</v>
      </c>
      <c r="O9" s="12"/>
      <c r="P9" s="14">
        <v>2580.2</v>
      </c>
      <c r="Q9" s="14"/>
      <c r="R9" s="14"/>
      <c r="S9" s="14">
        <v>30.9</v>
      </c>
      <c r="T9" s="14">
        <v>8.9</v>
      </c>
      <c r="U9" s="14">
        <v>218.2</v>
      </c>
      <c r="V9" s="14">
        <v>751.7</v>
      </c>
      <c r="W9" s="14" t="s">
        <v>82</v>
      </c>
      <c r="X9" s="14" t="s">
        <v>81</v>
      </c>
      <c r="Y9" s="14" t="s">
        <v>83</v>
      </c>
      <c r="Z9" s="18">
        <v>1</v>
      </c>
      <c r="AA9" s="18">
        <v>1</v>
      </c>
      <c r="AB9" s="14" t="s">
        <v>84</v>
      </c>
      <c r="AC9" s="14">
        <v>72.353461</v>
      </c>
      <c r="AD9" s="14">
        <v>31.327193</v>
      </c>
      <c r="AE9" s="9"/>
      <c r="AF9" s="9" t="s">
        <v>85</v>
      </c>
      <c r="AG9" s="9" t="s">
        <v>86</v>
      </c>
      <c r="AH9" s="9" t="s">
        <v>87</v>
      </c>
      <c r="AI9" s="6">
        <v>2022</v>
      </c>
      <c r="AJ9" s="7" t="s">
        <v>88</v>
      </c>
      <c r="AK9" s="9" t="s">
        <v>89</v>
      </c>
      <c r="AL9" s="9" t="s">
        <v>90</v>
      </c>
      <c r="AM9" s="9"/>
      <c r="AN9" s="22">
        <v>26.8144</v>
      </c>
    </row>
    <row r="10" spans="1:40">
      <c r="A10" s="6" cm="1">
        <f t="array" ref="A10">IF(COUNTIF(B$2:B10,B10)&gt;1,INDEX(A$1:A9,MATCH(B10,B$1:B9,0)),MAX(A$1:A9)+1)</f>
        <v>1</v>
      </c>
      <c r="B10" s="7" t="s">
        <v>72</v>
      </c>
      <c r="C10" s="3" t="s">
        <v>73</v>
      </c>
      <c r="D10" s="8" t="s">
        <v>74</v>
      </c>
      <c r="E10" s="7"/>
      <c r="F10" s="7" t="s">
        <v>75</v>
      </c>
      <c r="G10" s="7" t="s">
        <v>76</v>
      </c>
      <c r="H10" s="7" t="s">
        <v>77</v>
      </c>
      <c r="I10" s="7" t="s">
        <v>78</v>
      </c>
      <c r="J10" s="7" t="s">
        <v>79</v>
      </c>
      <c r="K10" s="7" t="s">
        <v>80</v>
      </c>
      <c r="L10" s="7"/>
      <c r="M10" s="7" t="s">
        <v>81</v>
      </c>
      <c r="N10" s="12">
        <v>3050</v>
      </c>
      <c r="O10" s="12"/>
      <c r="P10" s="13">
        <v>2580.2</v>
      </c>
      <c r="Q10" s="13"/>
      <c r="R10" s="13"/>
      <c r="S10" s="13">
        <v>30.9</v>
      </c>
      <c r="T10" s="13">
        <v>8.9</v>
      </c>
      <c r="U10" s="13">
        <v>218.2</v>
      </c>
      <c r="V10" s="13">
        <v>751.7</v>
      </c>
      <c r="W10" s="13" t="s">
        <v>82</v>
      </c>
      <c r="X10" s="13" t="s">
        <v>81</v>
      </c>
      <c r="Y10" s="13" t="s">
        <v>83</v>
      </c>
      <c r="Z10" s="17">
        <v>1</v>
      </c>
      <c r="AA10" s="17">
        <v>1</v>
      </c>
      <c r="AB10" s="13" t="s">
        <v>84</v>
      </c>
      <c r="AC10" s="13">
        <v>72.353461</v>
      </c>
      <c r="AD10" s="13">
        <v>31.327193</v>
      </c>
      <c r="AE10" s="7"/>
      <c r="AF10" s="7" t="s">
        <v>85</v>
      </c>
      <c r="AG10" s="7" t="s">
        <v>86</v>
      </c>
      <c r="AH10" s="7" t="s">
        <v>87</v>
      </c>
      <c r="AI10" s="21">
        <v>2022</v>
      </c>
      <c r="AJ10" s="7" t="s">
        <v>88</v>
      </c>
      <c r="AK10" s="9" t="s">
        <v>89</v>
      </c>
      <c r="AL10" s="9" t="s">
        <v>90</v>
      </c>
      <c r="AM10" s="9"/>
      <c r="AN10" s="22">
        <v>19.278</v>
      </c>
    </row>
    <row r="11" spans="1:40">
      <c r="A11" s="6" cm="1">
        <f t="array" ref="A11">IF(COUNTIF(B$2:B11,B11)&gt;1,INDEX(A$1:A10,MATCH(B11,B$1:B10,0)),MAX(A$1:A10)+1)</f>
        <v>1</v>
      </c>
      <c r="B11" s="9" t="s">
        <v>72</v>
      </c>
      <c r="C11" s="10" t="s">
        <v>73</v>
      </c>
      <c r="D11" s="11" t="s">
        <v>74</v>
      </c>
      <c r="E11" s="9"/>
      <c r="F11" s="9" t="s">
        <v>75</v>
      </c>
      <c r="G11" s="9" t="s">
        <v>76</v>
      </c>
      <c r="H11" s="9" t="s">
        <v>77</v>
      </c>
      <c r="I11" s="9" t="s">
        <v>78</v>
      </c>
      <c r="J11" s="9" t="s">
        <v>79</v>
      </c>
      <c r="K11" s="9" t="s">
        <v>80</v>
      </c>
      <c r="L11" s="9"/>
      <c r="M11" s="9" t="s">
        <v>81</v>
      </c>
      <c r="N11" s="12">
        <v>3050</v>
      </c>
      <c r="O11" s="12"/>
      <c r="P11" s="14">
        <v>2580.2</v>
      </c>
      <c r="Q11" s="14"/>
      <c r="R11" s="14"/>
      <c r="S11" s="14">
        <v>30.9</v>
      </c>
      <c r="T11" s="14">
        <v>8.9</v>
      </c>
      <c r="U11" s="14">
        <v>218.2</v>
      </c>
      <c r="V11" s="14">
        <v>751.7</v>
      </c>
      <c r="W11" s="14" t="s">
        <v>82</v>
      </c>
      <c r="X11" s="14" t="s">
        <v>81</v>
      </c>
      <c r="Y11" s="14" t="s">
        <v>83</v>
      </c>
      <c r="Z11" s="18">
        <v>1</v>
      </c>
      <c r="AA11" s="18">
        <v>1</v>
      </c>
      <c r="AB11" s="14" t="s">
        <v>84</v>
      </c>
      <c r="AC11" s="14">
        <v>72.353461</v>
      </c>
      <c r="AD11" s="14">
        <v>31.327193</v>
      </c>
      <c r="AE11" s="9"/>
      <c r="AF11" s="9" t="s">
        <v>85</v>
      </c>
      <c r="AG11" s="9" t="s">
        <v>86</v>
      </c>
      <c r="AH11" s="9" t="s">
        <v>87</v>
      </c>
      <c r="AI11" s="6">
        <v>2022</v>
      </c>
      <c r="AJ11" s="9" t="s">
        <v>91</v>
      </c>
      <c r="AK11" s="9" t="s">
        <v>89</v>
      </c>
      <c r="AL11" s="9" t="s">
        <v>90</v>
      </c>
      <c r="AM11" s="9"/>
      <c r="AN11" s="22">
        <v>29</v>
      </c>
    </row>
    <row r="12" spans="1:40">
      <c r="A12" s="6" cm="1">
        <f t="array" ref="A12">IF(COUNTIF(B$2:B12,B12)&gt;1,INDEX(A$1:A11,MATCH(B12,B$1:B11,0)),MAX(A$1:A11)+1)</f>
        <v>1</v>
      </c>
      <c r="B12" s="7" t="s">
        <v>72</v>
      </c>
      <c r="C12" s="3" t="s">
        <v>73</v>
      </c>
      <c r="D12" s="8" t="s">
        <v>74</v>
      </c>
      <c r="E12" s="7"/>
      <c r="F12" s="7" t="s">
        <v>75</v>
      </c>
      <c r="G12" s="7" t="s">
        <v>76</v>
      </c>
      <c r="H12" s="7" t="s">
        <v>77</v>
      </c>
      <c r="I12" s="7" t="s">
        <v>78</v>
      </c>
      <c r="J12" s="7" t="s">
        <v>79</v>
      </c>
      <c r="K12" s="7" t="s">
        <v>80</v>
      </c>
      <c r="L12" s="7"/>
      <c r="M12" s="7" t="s">
        <v>81</v>
      </c>
      <c r="N12" s="12">
        <v>3050</v>
      </c>
      <c r="O12" s="12"/>
      <c r="P12" s="13">
        <v>2580.2</v>
      </c>
      <c r="Q12" s="13"/>
      <c r="R12" s="13"/>
      <c r="S12" s="13">
        <v>30.9</v>
      </c>
      <c r="T12" s="13">
        <v>8.9</v>
      </c>
      <c r="U12" s="13">
        <v>218.2</v>
      </c>
      <c r="V12" s="13">
        <v>751.7</v>
      </c>
      <c r="W12" s="13" t="s">
        <v>82</v>
      </c>
      <c r="X12" s="13" t="s">
        <v>81</v>
      </c>
      <c r="Y12" s="13" t="s">
        <v>83</v>
      </c>
      <c r="Z12" s="17">
        <v>1</v>
      </c>
      <c r="AA12" s="17">
        <v>1</v>
      </c>
      <c r="AB12" s="13" t="s">
        <v>84</v>
      </c>
      <c r="AC12" s="13">
        <v>72.353461</v>
      </c>
      <c r="AD12" s="13">
        <v>31.327193</v>
      </c>
      <c r="AE12" s="7"/>
      <c r="AF12" s="7" t="s">
        <v>85</v>
      </c>
      <c r="AG12" s="7" t="s">
        <v>86</v>
      </c>
      <c r="AH12" s="7" t="s">
        <v>87</v>
      </c>
      <c r="AI12" s="21">
        <v>2022</v>
      </c>
      <c r="AJ12" s="9" t="s">
        <v>91</v>
      </c>
      <c r="AK12" s="9" t="s">
        <v>89</v>
      </c>
      <c r="AL12" s="9" t="s">
        <v>90</v>
      </c>
      <c r="AM12" s="9"/>
      <c r="AN12" s="22">
        <v>31.401</v>
      </c>
    </row>
    <row r="13" spans="1:40">
      <c r="A13" s="6" cm="1">
        <f t="array" ref="A13">IF(COUNTIF(B$2:B13,B13)&gt;1,INDEX(A$1:A12,MATCH(B13,B$1:B12,0)),MAX(A$1:A12)+1)</f>
        <v>1</v>
      </c>
      <c r="B13" s="9" t="s">
        <v>72</v>
      </c>
      <c r="C13" s="10" t="s">
        <v>73</v>
      </c>
      <c r="D13" s="11" t="s">
        <v>74</v>
      </c>
      <c r="E13" s="9"/>
      <c r="F13" s="9" t="s">
        <v>75</v>
      </c>
      <c r="G13" s="9" t="s">
        <v>76</v>
      </c>
      <c r="H13" s="9" t="s">
        <v>77</v>
      </c>
      <c r="I13" s="9" t="s">
        <v>78</v>
      </c>
      <c r="J13" s="9" t="s">
        <v>79</v>
      </c>
      <c r="K13" s="9" t="s">
        <v>80</v>
      </c>
      <c r="L13" s="9"/>
      <c r="M13" s="9" t="s">
        <v>81</v>
      </c>
      <c r="N13" s="12">
        <v>3050</v>
      </c>
      <c r="O13" s="12"/>
      <c r="P13" s="14">
        <v>2580.2</v>
      </c>
      <c r="Q13" s="14"/>
      <c r="R13" s="14"/>
      <c r="S13" s="14">
        <v>30.9</v>
      </c>
      <c r="T13" s="14">
        <v>8.9</v>
      </c>
      <c r="U13" s="14">
        <v>218.2</v>
      </c>
      <c r="V13" s="14">
        <v>751.7</v>
      </c>
      <c r="W13" s="14" t="s">
        <v>82</v>
      </c>
      <c r="X13" s="14" t="s">
        <v>81</v>
      </c>
      <c r="Y13" s="14" t="s">
        <v>83</v>
      </c>
      <c r="Z13" s="18">
        <v>1</v>
      </c>
      <c r="AA13" s="18">
        <v>1</v>
      </c>
      <c r="AB13" s="14" t="s">
        <v>84</v>
      </c>
      <c r="AC13" s="14">
        <v>72.353461</v>
      </c>
      <c r="AD13" s="14">
        <v>31.327193</v>
      </c>
      <c r="AE13" s="9"/>
      <c r="AF13" s="9" t="s">
        <v>85</v>
      </c>
      <c r="AG13" s="9" t="s">
        <v>86</v>
      </c>
      <c r="AH13" s="9" t="s">
        <v>87</v>
      </c>
      <c r="AI13" s="6">
        <v>2022</v>
      </c>
      <c r="AJ13" s="9" t="s">
        <v>91</v>
      </c>
      <c r="AK13" s="9" t="s">
        <v>89</v>
      </c>
      <c r="AL13" s="9" t="s">
        <v>90</v>
      </c>
      <c r="AM13" s="9"/>
      <c r="AN13" s="22">
        <v>18.707</v>
      </c>
    </row>
    <row r="14" spans="1:40">
      <c r="A14" s="6" cm="1">
        <f t="array" ref="A14">IF(COUNTIF(B$2:B14,B14)&gt;1,INDEX(A$1:A13,MATCH(B14,B$1:B13,0)),MAX(A$1:A13)+1)</f>
        <v>1</v>
      </c>
      <c r="B14" s="7" t="s">
        <v>72</v>
      </c>
      <c r="C14" s="3" t="s">
        <v>73</v>
      </c>
      <c r="D14" s="8" t="s">
        <v>74</v>
      </c>
      <c r="E14" s="7"/>
      <c r="F14" s="7" t="s">
        <v>75</v>
      </c>
      <c r="G14" s="7" t="s">
        <v>76</v>
      </c>
      <c r="H14" s="7" t="s">
        <v>77</v>
      </c>
      <c r="I14" s="7" t="s">
        <v>78</v>
      </c>
      <c r="J14" s="7" t="s">
        <v>79</v>
      </c>
      <c r="K14" s="7" t="s">
        <v>80</v>
      </c>
      <c r="L14" s="7"/>
      <c r="M14" s="7" t="s">
        <v>81</v>
      </c>
      <c r="N14" s="12">
        <v>3050</v>
      </c>
      <c r="O14" s="12"/>
      <c r="P14" s="13">
        <v>2580.2</v>
      </c>
      <c r="Q14" s="13"/>
      <c r="R14" s="13"/>
      <c r="S14" s="13">
        <v>30.9</v>
      </c>
      <c r="T14" s="13">
        <v>8.9</v>
      </c>
      <c r="U14" s="13">
        <v>218.2</v>
      </c>
      <c r="V14" s="13">
        <v>751.7</v>
      </c>
      <c r="W14" s="13" t="s">
        <v>82</v>
      </c>
      <c r="X14" s="13" t="s">
        <v>81</v>
      </c>
      <c r="Y14" s="13" t="s">
        <v>83</v>
      </c>
      <c r="Z14" s="17">
        <v>1</v>
      </c>
      <c r="AA14" s="17">
        <v>1</v>
      </c>
      <c r="AB14" s="13" t="s">
        <v>84</v>
      </c>
      <c r="AC14" s="13">
        <v>72.353461</v>
      </c>
      <c r="AD14" s="13">
        <v>31.327193</v>
      </c>
      <c r="AE14" s="7"/>
      <c r="AF14" s="7" t="s">
        <v>85</v>
      </c>
      <c r="AG14" s="7" t="s">
        <v>86</v>
      </c>
      <c r="AH14" s="7" t="s">
        <v>87</v>
      </c>
      <c r="AI14" s="21">
        <v>2022</v>
      </c>
      <c r="AJ14" s="9" t="s">
        <v>91</v>
      </c>
      <c r="AK14" s="9" t="s">
        <v>89</v>
      </c>
      <c r="AL14" s="9" t="s">
        <v>90</v>
      </c>
      <c r="AM14" s="9"/>
      <c r="AN14" s="22">
        <v>44.666</v>
      </c>
    </row>
    <row r="15" spans="1:40">
      <c r="A15" s="6" cm="1">
        <f t="array" ref="A15">IF(COUNTIF(B$2:B15,B15)&gt;1,INDEX(A$1:A14,MATCH(B15,B$1:B14,0)),MAX(A$1:A14)+1)</f>
        <v>1</v>
      </c>
      <c r="B15" s="9" t="s">
        <v>72</v>
      </c>
      <c r="C15" s="10" t="s">
        <v>73</v>
      </c>
      <c r="D15" s="11" t="s">
        <v>74</v>
      </c>
      <c r="E15" s="9"/>
      <c r="F15" s="9" t="s">
        <v>75</v>
      </c>
      <c r="G15" s="9" t="s">
        <v>76</v>
      </c>
      <c r="H15" s="9" t="s">
        <v>77</v>
      </c>
      <c r="I15" s="9" t="s">
        <v>78</v>
      </c>
      <c r="J15" s="9" t="s">
        <v>79</v>
      </c>
      <c r="K15" s="9" t="s">
        <v>80</v>
      </c>
      <c r="L15" s="9"/>
      <c r="M15" s="9" t="s">
        <v>81</v>
      </c>
      <c r="N15" s="12">
        <v>3050</v>
      </c>
      <c r="O15" s="12"/>
      <c r="P15" s="14">
        <v>2580.2</v>
      </c>
      <c r="Q15" s="14"/>
      <c r="R15" s="14"/>
      <c r="S15" s="14">
        <v>30.9</v>
      </c>
      <c r="T15" s="14">
        <v>8.9</v>
      </c>
      <c r="U15" s="14">
        <v>218.2</v>
      </c>
      <c r="V15" s="14">
        <v>751.7</v>
      </c>
      <c r="W15" s="14" t="s">
        <v>82</v>
      </c>
      <c r="X15" s="14" t="s">
        <v>81</v>
      </c>
      <c r="Y15" s="14" t="s">
        <v>83</v>
      </c>
      <c r="Z15" s="18">
        <v>1</v>
      </c>
      <c r="AA15" s="18">
        <v>1</v>
      </c>
      <c r="AB15" s="14" t="s">
        <v>84</v>
      </c>
      <c r="AC15" s="14">
        <v>72.353461</v>
      </c>
      <c r="AD15" s="14">
        <v>31.327193</v>
      </c>
      <c r="AE15" s="9"/>
      <c r="AF15" s="9" t="s">
        <v>85</v>
      </c>
      <c r="AG15" s="9" t="s">
        <v>86</v>
      </c>
      <c r="AH15" s="9" t="s">
        <v>87</v>
      </c>
      <c r="AI15" s="6">
        <v>2022</v>
      </c>
      <c r="AJ15" s="9" t="s">
        <v>91</v>
      </c>
      <c r="AK15" s="9" t="s">
        <v>89</v>
      </c>
      <c r="AL15" s="9" t="s">
        <v>90</v>
      </c>
      <c r="AM15" s="9"/>
      <c r="AN15" s="22">
        <v>35.12189</v>
      </c>
    </row>
    <row r="16" spans="1:40">
      <c r="A16" s="6" cm="1">
        <f t="array" ref="A16">IF(COUNTIF(B$2:B16,B16)&gt;1,INDEX(A$1:A15,MATCH(B16,B$1:B15,0)),MAX(A$1:A15)+1)</f>
        <v>1</v>
      </c>
      <c r="B16" s="7" t="s">
        <v>72</v>
      </c>
      <c r="C16" s="3" t="s">
        <v>73</v>
      </c>
      <c r="D16" s="8" t="s">
        <v>74</v>
      </c>
      <c r="E16" s="7"/>
      <c r="F16" s="7" t="s">
        <v>75</v>
      </c>
      <c r="G16" s="7" t="s">
        <v>76</v>
      </c>
      <c r="H16" s="7" t="s">
        <v>77</v>
      </c>
      <c r="I16" s="7" t="s">
        <v>78</v>
      </c>
      <c r="J16" s="7" t="s">
        <v>79</v>
      </c>
      <c r="K16" s="7" t="s">
        <v>80</v>
      </c>
      <c r="L16" s="7"/>
      <c r="M16" s="7" t="s">
        <v>81</v>
      </c>
      <c r="N16" s="12">
        <v>3050</v>
      </c>
      <c r="O16" s="12"/>
      <c r="P16" s="13">
        <v>2580.2</v>
      </c>
      <c r="Q16" s="13"/>
      <c r="R16" s="13"/>
      <c r="S16" s="13">
        <v>30.9</v>
      </c>
      <c r="T16" s="13">
        <v>8.9</v>
      </c>
      <c r="U16" s="13">
        <v>218.2</v>
      </c>
      <c r="V16" s="13">
        <v>751.7</v>
      </c>
      <c r="W16" s="13" t="s">
        <v>82</v>
      </c>
      <c r="X16" s="13" t="s">
        <v>81</v>
      </c>
      <c r="Y16" s="13" t="s">
        <v>83</v>
      </c>
      <c r="Z16" s="17">
        <v>1</v>
      </c>
      <c r="AA16" s="17">
        <v>1</v>
      </c>
      <c r="AB16" s="13" t="s">
        <v>84</v>
      </c>
      <c r="AC16" s="13">
        <v>72.353461</v>
      </c>
      <c r="AD16" s="13">
        <v>31.327193</v>
      </c>
      <c r="AE16" s="7"/>
      <c r="AF16" s="7" t="s">
        <v>85</v>
      </c>
      <c r="AG16" s="7" t="s">
        <v>86</v>
      </c>
      <c r="AH16" s="7" t="s">
        <v>87</v>
      </c>
      <c r="AI16" s="21">
        <v>2022</v>
      </c>
      <c r="AJ16" s="9" t="s">
        <v>91</v>
      </c>
      <c r="AK16" s="9" t="s">
        <v>89</v>
      </c>
      <c r="AL16" s="9" t="s">
        <v>90</v>
      </c>
      <c r="AM16" s="9"/>
      <c r="AN16" s="22">
        <v>32.0679</v>
      </c>
    </row>
    <row r="17" spans="1:40">
      <c r="A17" s="6" cm="1">
        <f t="array" ref="A17">IF(COUNTIF(B$2:B17,B17)&gt;1,INDEX(A$1:A16,MATCH(B17,B$1:B16,0)),MAX(A$1:A16)+1)</f>
        <v>1</v>
      </c>
      <c r="B17" s="9" t="s">
        <v>72</v>
      </c>
      <c r="C17" s="10" t="s">
        <v>73</v>
      </c>
      <c r="D17" s="11" t="s">
        <v>74</v>
      </c>
      <c r="E17" s="9"/>
      <c r="F17" s="9" t="s">
        <v>75</v>
      </c>
      <c r="G17" s="9" t="s">
        <v>76</v>
      </c>
      <c r="H17" s="9" t="s">
        <v>77</v>
      </c>
      <c r="I17" s="9" t="s">
        <v>78</v>
      </c>
      <c r="J17" s="9" t="s">
        <v>79</v>
      </c>
      <c r="K17" s="9" t="s">
        <v>80</v>
      </c>
      <c r="L17" s="9"/>
      <c r="M17" s="9" t="s">
        <v>81</v>
      </c>
      <c r="N17" s="12">
        <v>3050</v>
      </c>
      <c r="O17" s="12"/>
      <c r="P17" s="14">
        <v>2580.2</v>
      </c>
      <c r="Q17" s="14"/>
      <c r="R17" s="14"/>
      <c r="S17" s="14">
        <v>30.9</v>
      </c>
      <c r="T17" s="14">
        <v>8.9</v>
      </c>
      <c r="U17" s="14">
        <v>218.2</v>
      </c>
      <c r="V17" s="14">
        <v>751.7</v>
      </c>
      <c r="W17" s="14" t="s">
        <v>82</v>
      </c>
      <c r="X17" s="14" t="s">
        <v>81</v>
      </c>
      <c r="Y17" s="14" t="s">
        <v>83</v>
      </c>
      <c r="Z17" s="18">
        <v>1</v>
      </c>
      <c r="AA17" s="18">
        <v>1</v>
      </c>
      <c r="AB17" s="14" t="s">
        <v>84</v>
      </c>
      <c r="AC17" s="14">
        <v>72.353461</v>
      </c>
      <c r="AD17" s="14">
        <v>31.327193</v>
      </c>
      <c r="AE17" s="9"/>
      <c r="AF17" s="9" t="s">
        <v>85</v>
      </c>
      <c r="AG17" s="9" t="s">
        <v>86</v>
      </c>
      <c r="AH17" s="9" t="s">
        <v>87</v>
      </c>
      <c r="AI17" s="6">
        <v>2022</v>
      </c>
      <c r="AJ17" s="9" t="s">
        <v>91</v>
      </c>
      <c r="AK17" s="9" t="s">
        <v>89</v>
      </c>
      <c r="AL17" s="9" t="s">
        <v>90</v>
      </c>
      <c r="AM17" s="9"/>
      <c r="AN17" s="22">
        <v>40.0846</v>
      </c>
    </row>
    <row r="18" spans="1:40">
      <c r="A18" s="6" cm="1">
        <f t="array" ref="A18">IF(COUNTIF(B$2:B18,B18)&gt;1,INDEX(A$1:A17,MATCH(B18,B$1:B17,0)),MAX(A$1:A17)+1)</f>
        <v>1</v>
      </c>
      <c r="B18" s="7" t="s">
        <v>72</v>
      </c>
      <c r="C18" s="3" t="s">
        <v>73</v>
      </c>
      <c r="D18" s="8" t="s">
        <v>74</v>
      </c>
      <c r="E18" s="7"/>
      <c r="F18" s="7" t="s">
        <v>75</v>
      </c>
      <c r="G18" s="7" t="s">
        <v>76</v>
      </c>
      <c r="H18" s="7" t="s">
        <v>77</v>
      </c>
      <c r="I18" s="7" t="s">
        <v>78</v>
      </c>
      <c r="J18" s="7" t="s">
        <v>79</v>
      </c>
      <c r="K18" s="7" t="s">
        <v>80</v>
      </c>
      <c r="L18" s="7"/>
      <c r="M18" s="7" t="s">
        <v>81</v>
      </c>
      <c r="N18" s="12">
        <v>3050</v>
      </c>
      <c r="O18" s="12"/>
      <c r="P18" s="13">
        <v>2580.2</v>
      </c>
      <c r="Q18" s="13"/>
      <c r="R18" s="13"/>
      <c r="S18" s="13">
        <v>30.9</v>
      </c>
      <c r="T18" s="13">
        <v>8.9</v>
      </c>
      <c r="U18" s="13">
        <v>218.2</v>
      </c>
      <c r="V18" s="13">
        <v>751.7</v>
      </c>
      <c r="W18" s="13" t="s">
        <v>82</v>
      </c>
      <c r="X18" s="13" t="s">
        <v>81</v>
      </c>
      <c r="Y18" s="13" t="s">
        <v>83</v>
      </c>
      <c r="Z18" s="17">
        <v>1</v>
      </c>
      <c r="AA18" s="17">
        <v>1</v>
      </c>
      <c r="AB18" s="13" t="s">
        <v>84</v>
      </c>
      <c r="AC18" s="13">
        <v>72.353461</v>
      </c>
      <c r="AD18" s="13">
        <v>31.327193</v>
      </c>
      <c r="AE18" s="7"/>
      <c r="AF18" s="7" t="s">
        <v>85</v>
      </c>
      <c r="AG18" s="7" t="s">
        <v>86</v>
      </c>
      <c r="AH18" s="7" t="s">
        <v>87</v>
      </c>
      <c r="AI18" s="21">
        <v>2022</v>
      </c>
      <c r="AJ18" s="9" t="s">
        <v>91</v>
      </c>
      <c r="AK18" s="9" t="s">
        <v>89</v>
      </c>
      <c r="AL18" s="9" t="s">
        <v>90</v>
      </c>
      <c r="AM18" s="9"/>
      <c r="AN18" s="22">
        <v>35.0261</v>
      </c>
    </row>
    <row r="19" spans="1:40">
      <c r="A19" s="6" cm="1">
        <f t="array" ref="A19">IF(COUNTIF(B$2:B19,B19)&gt;1,INDEX(A$1:A18,MATCH(B19,B$1:B18,0)),MAX(A$1:A18)+1)</f>
        <v>2</v>
      </c>
      <c r="B19" s="9" t="s">
        <v>92</v>
      </c>
      <c r="C19" s="10" t="s">
        <v>93</v>
      </c>
      <c r="D19" s="11" t="s">
        <v>74</v>
      </c>
      <c r="E19" s="9"/>
      <c r="F19" s="9" t="s">
        <v>75</v>
      </c>
      <c r="G19" s="9" t="s">
        <v>76</v>
      </c>
      <c r="H19" s="9" t="s">
        <v>77</v>
      </c>
      <c r="I19" s="9" t="s">
        <v>78</v>
      </c>
      <c r="J19" s="9" t="s">
        <v>79</v>
      </c>
      <c r="K19" s="9" t="s">
        <v>80</v>
      </c>
      <c r="L19" s="9"/>
      <c r="M19" s="9" t="s">
        <v>81</v>
      </c>
      <c r="N19" s="12">
        <v>3050</v>
      </c>
      <c r="O19" s="12"/>
      <c r="P19" s="14">
        <v>2580.2</v>
      </c>
      <c r="Q19" s="14"/>
      <c r="R19" s="14"/>
      <c r="S19" s="14">
        <v>30.9</v>
      </c>
      <c r="T19" s="14">
        <v>8.9</v>
      </c>
      <c r="U19" s="14">
        <v>218.2</v>
      </c>
      <c r="V19" s="14">
        <v>751.7</v>
      </c>
      <c r="W19" s="14" t="s">
        <v>82</v>
      </c>
      <c r="X19" s="14" t="s">
        <v>81</v>
      </c>
      <c r="Y19" s="14" t="s">
        <v>83</v>
      </c>
      <c r="Z19" s="18">
        <v>1</v>
      </c>
      <c r="AA19" s="18">
        <v>1</v>
      </c>
      <c r="AB19" s="14" t="s">
        <v>84</v>
      </c>
      <c r="AC19" s="14">
        <v>-90.218351</v>
      </c>
      <c r="AD19" s="14">
        <v>20.36446</v>
      </c>
      <c r="AE19" s="9"/>
      <c r="AF19" s="9" t="s">
        <v>94</v>
      </c>
      <c r="AG19" s="9" t="s">
        <v>95</v>
      </c>
      <c r="AH19" s="9" t="s">
        <v>96</v>
      </c>
      <c r="AI19" s="6">
        <v>2016</v>
      </c>
      <c r="AJ19" s="7" t="s">
        <v>88</v>
      </c>
      <c r="AK19" s="7" t="s">
        <v>97</v>
      </c>
      <c r="AL19" s="9" t="s">
        <v>98</v>
      </c>
      <c r="AM19" s="9" t="s">
        <v>99</v>
      </c>
      <c r="AN19" s="22">
        <v>32.4</v>
      </c>
    </row>
    <row r="20" spans="1:40">
      <c r="A20" s="6" cm="1">
        <f t="array" ref="A20">IF(COUNTIF(B$2:B20,B20)&gt;1,INDEX(A$1:A19,MATCH(B20,B$1:B19,0)),MAX(A$1:A19)+1)</f>
        <v>2</v>
      </c>
      <c r="B20" s="7" t="s">
        <v>92</v>
      </c>
      <c r="C20" s="3" t="s">
        <v>93</v>
      </c>
      <c r="D20" s="8" t="s">
        <v>74</v>
      </c>
      <c r="E20" s="7"/>
      <c r="F20" s="7" t="s">
        <v>75</v>
      </c>
      <c r="G20" s="7" t="s">
        <v>76</v>
      </c>
      <c r="H20" s="7" t="s">
        <v>77</v>
      </c>
      <c r="I20" s="7" t="s">
        <v>78</v>
      </c>
      <c r="J20" s="7" t="s">
        <v>79</v>
      </c>
      <c r="K20" s="7" t="s">
        <v>80</v>
      </c>
      <c r="L20" s="7"/>
      <c r="M20" s="7" t="s">
        <v>81</v>
      </c>
      <c r="N20" s="12">
        <v>3050</v>
      </c>
      <c r="O20" s="12"/>
      <c r="P20" s="13">
        <v>2580.2</v>
      </c>
      <c r="Q20" s="13"/>
      <c r="R20" s="13"/>
      <c r="S20" s="13">
        <v>30.9</v>
      </c>
      <c r="T20" s="13">
        <v>8.9</v>
      </c>
      <c r="U20" s="13">
        <v>218.2</v>
      </c>
      <c r="V20" s="13">
        <v>751.7</v>
      </c>
      <c r="W20" s="13" t="s">
        <v>82</v>
      </c>
      <c r="X20" s="13" t="s">
        <v>81</v>
      </c>
      <c r="Y20" s="13" t="s">
        <v>83</v>
      </c>
      <c r="Z20" s="17">
        <v>1</v>
      </c>
      <c r="AA20" s="17">
        <v>1</v>
      </c>
      <c r="AB20" s="13" t="s">
        <v>84</v>
      </c>
      <c r="AC20" s="13">
        <v>-90.218351</v>
      </c>
      <c r="AD20" s="13">
        <v>20.36446</v>
      </c>
      <c r="AE20" s="7"/>
      <c r="AF20" s="7" t="s">
        <v>94</v>
      </c>
      <c r="AG20" s="7" t="s">
        <v>95</v>
      </c>
      <c r="AH20" s="7" t="s">
        <v>96</v>
      </c>
      <c r="AI20" s="21">
        <v>2016</v>
      </c>
      <c r="AJ20" s="9" t="s">
        <v>91</v>
      </c>
      <c r="AK20" s="7" t="s">
        <v>97</v>
      </c>
      <c r="AL20" s="9" t="s">
        <v>98</v>
      </c>
      <c r="AM20" s="9" t="s">
        <v>99</v>
      </c>
      <c r="AN20" s="22">
        <v>57</v>
      </c>
    </row>
    <row r="21" spans="1:40">
      <c r="A21" s="6" cm="1">
        <f t="array" ref="A21">IF(COUNTIF(B$2:B21,B21)&gt;1,INDEX(A$1:A20,MATCH(B21,B$1:B20,0)),MAX(A$1:A20)+1)</f>
        <v>2</v>
      </c>
      <c r="B21" s="9" t="s">
        <v>92</v>
      </c>
      <c r="C21" s="10" t="s">
        <v>93</v>
      </c>
      <c r="D21" s="11" t="s">
        <v>74</v>
      </c>
      <c r="E21" s="9"/>
      <c r="F21" s="9" t="s">
        <v>75</v>
      </c>
      <c r="G21" s="9" t="s">
        <v>76</v>
      </c>
      <c r="H21" s="9" t="s">
        <v>77</v>
      </c>
      <c r="I21" s="9" t="s">
        <v>78</v>
      </c>
      <c r="J21" s="9" t="s">
        <v>79</v>
      </c>
      <c r="K21" s="9" t="s">
        <v>80</v>
      </c>
      <c r="L21" s="9"/>
      <c r="M21" s="9" t="s">
        <v>81</v>
      </c>
      <c r="N21" s="12">
        <v>3050</v>
      </c>
      <c r="O21" s="12"/>
      <c r="P21" s="14">
        <v>2580.2</v>
      </c>
      <c r="Q21" s="14"/>
      <c r="R21" s="14"/>
      <c r="S21" s="14">
        <v>30.9</v>
      </c>
      <c r="T21" s="14">
        <v>8.9</v>
      </c>
      <c r="U21" s="14">
        <v>218.2</v>
      </c>
      <c r="V21" s="14">
        <v>751.7</v>
      </c>
      <c r="W21" s="14" t="s">
        <v>82</v>
      </c>
      <c r="X21" s="14" t="s">
        <v>81</v>
      </c>
      <c r="Y21" s="14" t="s">
        <v>83</v>
      </c>
      <c r="Z21" s="18">
        <v>1</v>
      </c>
      <c r="AA21" s="18">
        <v>1</v>
      </c>
      <c r="AB21" s="14" t="s">
        <v>84</v>
      </c>
      <c r="AC21" s="14">
        <v>-90.218351</v>
      </c>
      <c r="AD21" s="14">
        <v>20.36446</v>
      </c>
      <c r="AE21" s="9"/>
      <c r="AF21" s="9" t="s">
        <v>94</v>
      </c>
      <c r="AG21" s="9" t="s">
        <v>95</v>
      </c>
      <c r="AH21" s="9" t="s">
        <v>96</v>
      </c>
      <c r="AI21" s="6">
        <v>2016</v>
      </c>
      <c r="AJ21" s="7" t="s">
        <v>88</v>
      </c>
      <c r="AK21" s="7" t="s">
        <v>97</v>
      </c>
      <c r="AL21" s="9" t="s">
        <v>98</v>
      </c>
      <c r="AM21" s="9" t="s">
        <v>99</v>
      </c>
      <c r="AN21" s="22">
        <v>11</v>
      </c>
    </row>
    <row r="22" spans="1:40">
      <c r="A22" s="6" cm="1">
        <f t="array" ref="A22">IF(COUNTIF(B$2:B22,B22)&gt;1,INDEX(A$1:A21,MATCH(B22,B$1:B21,0)),MAX(A$1:A21)+1)</f>
        <v>2</v>
      </c>
      <c r="B22" s="7" t="s">
        <v>92</v>
      </c>
      <c r="C22" s="3" t="s">
        <v>93</v>
      </c>
      <c r="D22" s="8" t="s">
        <v>74</v>
      </c>
      <c r="E22" s="7"/>
      <c r="F22" s="7" t="s">
        <v>75</v>
      </c>
      <c r="G22" s="7" t="s">
        <v>76</v>
      </c>
      <c r="H22" s="7" t="s">
        <v>77</v>
      </c>
      <c r="I22" s="7" t="s">
        <v>78</v>
      </c>
      <c r="J22" s="7" t="s">
        <v>79</v>
      </c>
      <c r="K22" s="7" t="s">
        <v>80</v>
      </c>
      <c r="L22" s="7"/>
      <c r="M22" s="7" t="s">
        <v>81</v>
      </c>
      <c r="N22" s="12">
        <v>3050</v>
      </c>
      <c r="O22" s="12"/>
      <c r="P22" s="13">
        <v>2580.2</v>
      </c>
      <c r="Q22" s="13"/>
      <c r="R22" s="13"/>
      <c r="S22" s="13">
        <v>30.9</v>
      </c>
      <c r="T22" s="13">
        <v>8.9</v>
      </c>
      <c r="U22" s="13">
        <v>218.2</v>
      </c>
      <c r="V22" s="13">
        <v>751.7</v>
      </c>
      <c r="W22" s="13" t="s">
        <v>82</v>
      </c>
      <c r="X22" s="13" t="s">
        <v>81</v>
      </c>
      <c r="Y22" s="13" t="s">
        <v>83</v>
      </c>
      <c r="Z22" s="17">
        <v>1</v>
      </c>
      <c r="AA22" s="17">
        <v>1</v>
      </c>
      <c r="AB22" s="13" t="s">
        <v>84</v>
      </c>
      <c r="AC22" s="13">
        <v>-90.218351</v>
      </c>
      <c r="AD22" s="13">
        <v>20.36446</v>
      </c>
      <c r="AE22" s="7"/>
      <c r="AF22" s="7" t="s">
        <v>94</v>
      </c>
      <c r="AG22" s="7" t="s">
        <v>95</v>
      </c>
      <c r="AH22" s="7" t="s">
        <v>96</v>
      </c>
      <c r="AI22" s="21">
        <v>2016</v>
      </c>
      <c r="AJ22" s="9" t="s">
        <v>91</v>
      </c>
      <c r="AK22" s="7" t="s">
        <v>97</v>
      </c>
      <c r="AL22" s="9" t="s">
        <v>98</v>
      </c>
      <c r="AM22" s="9" t="s">
        <v>99</v>
      </c>
      <c r="AN22" s="22">
        <v>45.82</v>
      </c>
    </row>
    <row r="23" spans="1:40">
      <c r="A23" s="6" cm="1">
        <f t="array" ref="A23">IF(COUNTIF(B$2:B23,B23)&gt;1,INDEX(A$1:A22,MATCH(B23,B$1:B22,0)),MAX(A$1:A22)+1)</f>
        <v>3</v>
      </c>
      <c r="B23" s="9" t="s">
        <v>100</v>
      </c>
      <c r="C23" s="10" t="s">
        <v>101</v>
      </c>
      <c r="D23" s="11" t="s">
        <v>102</v>
      </c>
      <c r="E23" s="9"/>
      <c r="F23" s="9"/>
      <c r="G23" s="9"/>
      <c r="H23" s="9"/>
      <c r="I23" s="9"/>
      <c r="J23" s="9"/>
      <c r="K23" s="9"/>
      <c r="L23" s="9"/>
      <c r="M23" s="9" t="s">
        <v>81</v>
      </c>
      <c r="N23" s="12"/>
      <c r="O23" s="12"/>
      <c r="P23" s="14"/>
      <c r="Q23" s="14"/>
      <c r="R23" s="14"/>
      <c r="S23" s="14"/>
      <c r="T23" s="14"/>
      <c r="U23" s="14"/>
      <c r="V23" s="14"/>
      <c r="W23" s="14"/>
      <c r="X23" s="14"/>
      <c r="Y23" s="14"/>
      <c r="Z23" s="18"/>
      <c r="AA23" s="18"/>
      <c r="AB23" s="14"/>
      <c r="AC23" s="14">
        <v>-79.439702</v>
      </c>
      <c r="AD23" s="14">
        <v>40.360546</v>
      </c>
      <c r="AE23" s="9" t="s">
        <v>103</v>
      </c>
      <c r="AF23" s="9"/>
      <c r="AG23" s="9" t="s">
        <v>104</v>
      </c>
      <c r="AH23" s="9" t="s">
        <v>96</v>
      </c>
      <c r="AI23" s="6">
        <v>2020</v>
      </c>
      <c r="AJ23" s="9" t="s">
        <v>91</v>
      </c>
      <c r="AK23" s="9"/>
      <c r="AL23" s="9"/>
      <c r="AM23" s="9"/>
      <c r="AN23" s="22">
        <v>1.03</v>
      </c>
    </row>
    <row r="24" spans="1:40">
      <c r="A24" s="6" cm="1">
        <f t="array" ref="A24">IF(COUNTIF(B$2:B24,B24)&gt;1,INDEX(A$1:A23,MATCH(B24,B$1:B23,0)),MAX(A$1:A23)+1)</f>
        <v>4</v>
      </c>
      <c r="B24" s="7" t="s">
        <v>105</v>
      </c>
      <c r="C24" s="3" t="s">
        <v>106</v>
      </c>
      <c r="D24" s="8" t="s">
        <v>107</v>
      </c>
      <c r="E24" s="7" t="s">
        <v>108</v>
      </c>
      <c r="F24" s="7" t="s">
        <v>109</v>
      </c>
      <c r="G24" s="7" t="s">
        <v>110</v>
      </c>
      <c r="H24" s="7" t="s">
        <v>111</v>
      </c>
      <c r="I24" s="7" t="s">
        <v>112</v>
      </c>
      <c r="J24" s="7" t="s">
        <v>79</v>
      </c>
      <c r="K24" s="7" t="s">
        <v>113</v>
      </c>
      <c r="L24" s="7" t="s">
        <v>114</v>
      </c>
      <c r="M24" s="7" t="s">
        <v>115</v>
      </c>
      <c r="N24" s="15"/>
      <c r="O24" s="13">
        <v>221.13</v>
      </c>
      <c r="P24" s="13">
        <v>334.53</v>
      </c>
      <c r="Q24" s="13">
        <v>32</v>
      </c>
      <c r="R24" s="13">
        <v>36.1</v>
      </c>
      <c r="S24" s="13">
        <v>44.1</v>
      </c>
      <c r="T24" s="13">
        <v>5.1</v>
      </c>
      <c r="U24" s="13">
        <v>298.4</v>
      </c>
      <c r="V24" s="13">
        <v>307.4</v>
      </c>
      <c r="W24" s="13" t="s">
        <v>115</v>
      </c>
      <c r="X24" s="13" t="s">
        <v>116</v>
      </c>
      <c r="Y24" s="13" t="s">
        <v>117</v>
      </c>
      <c r="Z24" s="17">
        <v>3</v>
      </c>
      <c r="AA24" s="17">
        <v>2</v>
      </c>
      <c r="AB24" s="13" t="s">
        <v>118</v>
      </c>
      <c r="AC24" s="13">
        <v>-80.525764</v>
      </c>
      <c r="AD24" s="13">
        <v>25.008119</v>
      </c>
      <c r="AE24" s="7" t="s">
        <v>119</v>
      </c>
      <c r="AF24" s="7" t="s">
        <v>120</v>
      </c>
      <c r="AG24" s="7" t="s">
        <v>121</v>
      </c>
      <c r="AH24" s="7" t="s">
        <v>96</v>
      </c>
      <c r="AI24" s="21"/>
      <c r="AJ24" s="9" t="s">
        <v>91</v>
      </c>
      <c r="AK24" s="7" t="s">
        <v>89</v>
      </c>
      <c r="AL24" s="9" t="s">
        <v>98</v>
      </c>
      <c r="AM24" s="7" t="s">
        <v>122</v>
      </c>
      <c r="AN24" s="22">
        <v>7.6</v>
      </c>
    </row>
    <row r="25" spans="1:40">
      <c r="A25" s="6" cm="1">
        <f t="array" ref="A25">IF(COUNTIF(B$2:B25,B25)&gt;1,INDEX(A$1:A24,MATCH(B25,B$1:B24,0)),MAX(A$1:A24)+1)</f>
        <v>4</v>
      </c>
      <c r="B25" s="9" t="s">
        <v>105</v>
      </c>
      <c r="C25" s="10" t="s">
        <v>106</v>
      </c>
      <c r="D25" s="11" t="s">
        <v>123</v>
      </c>
      <c r="E25" s="9" t="s">
        <v>124</v>
      </c>
      <c r="F25" s="9" t="s">
        <v>125</v>
      </c>
      <c r="G25" s="9" t="s">
        <v>126</v>
      </c>
      <c r="H25" s="9" t="s">
        <v>127</v>
      </c>
      <c r="I25" s="7" t="s">
        <v>112</v>
      </c>
      <c r="J25" s="9" t="s">
        <v>79</v>
      </c>
      <c r="K25" s="7" t="s">
        <v>113</v>
      </c>
      <c r="L25" s="9" t="s">
        <v>128</v>
      </c>
      <c r="M25" s="9" t="s">
        <v>129</v>
      </c>
      <c r="N25" s="12"/>
      <c r="O25" s="14">
        <v>2000</v>
      </c>
      <c r="P25" s="14">
        <v>5000</v>
      </c>
      <c r="Q25" s="14">
        <v>100</v>
      </c>
      <c r="R25" s="14">
        <v>137</v>
      </c>
      <c r="S25" s="14">
        <v>319.5</v>
      </c>
      <c r="T25" s="14">
        <v>38.8</v>
      </c>
      <c r="U25" s="14">
        <v>494.6</v>
      </c>
      <c r="V25" s="14">
        <v>3427.8</v>
      </c>
      <c r="W25" s="14" t="s">
        <v>115</v>
      </c>
      <c r="X25" s="14" t="s">
        <v>116</v>
      </c>
      <c r="Y25" s="14" t="s">
        <v>117</v>
      </c>
      <c r="Z25" s="18">
        <v>3</v>
      </c>
      <c r="AA25" s="18">
        <v>1</v>
      </c>
      <c r="AB25" s="14" t="s">
        <v>118</v>
      </c>
      <c r="AC25" s="14">
        <v>-80.525764</v>
      </c>
      <c r="AD25" s="14">
        <v>25.008119</v>
      </c>
      <c r="AE25" s="9" t="s">
        <v>119</v>
      </c>
      <c r="AF25" s="9" t="s">
        <v>120</v>
      </c>
      <c r="AG25" s="9" t="s">
        <v>121</v>
      </c>
      <c r="AH25" s="9" t="s">
        <v>96</v>
      </c>
      <c r="AI25" s="6"/>
      <c r="AJ25" s="9" t="s">
        <v>91</v>
      </c>
      <c r="AK25" s="7" t="s">
        <v>89</v>
      </c>
      <c r="AL25" s="9" t="s">
        <v>98</v>
      </c>
      <c r="AM25" s="7" t="s">
        <v>122</v>
      </c>
      <c r="AN25" s="22">
        <v>29.9</v>
      </c>
    </row>
    <row r="26" spans="1:40">
      <c r="A26" s="6" cm="1">
        <f t="array" ref="A26">IF(COUNTIF(B$2:B26,B26)&gt;1,INDEX(A$1:A25,MATCH(B26,B$1:B25,0)),MAX(A$1:A25)+1)</f>
        <v>4</v>
      </c>
      <c r="B26" s="7" t="s">
        <v>105</v>
      </c>
      <c r="C26" s="3" t="s">
        <v>106</v>
      </c>
      <c r="D26" s="8" t="s">
        <v>130</v>
      </c>
      <c r="E26" s="7" t="s">
        <v>131</v>
      </c>
      <c r="F26" s="7" t="s">
        <v>132</v>
      </c>
      <c r="G26" s="7" t="s">
        <v>133</v>
      </c>
      <c r="H26" s="7" t="s">
        <v>134</v>
      </c>
      <c r="I26" s="7" t="s">
        <v>112</v>
      </c>
      <c r="J26" s="7" t="s">
        <v>79</v>
      </c>
      <c r="K26" s="7" t="s">
        <v>113</v>
      </c>
      <c r="L26" s="7" t="s">
        <v>135</v>
      </c>
      <c r="M26" s="9" t="s">
        <v>129</v>
      </c>
      <c r="N26" s="15">
        <v>2000</v>
      </c>
      <c r="O26" s="13">
        <v>1200</v>
      </c>
      <c r="P26" s="13">
        <v>2500</v>
      </c>
      <c r="Q26" s="13">
        <v>70</v>
      </c>
      <c r="R26" s="13">
        <v>90</v>
      </c>
      <c r="S26" s="13">
        <v>68.2</v>
      </c>
      <c r="T26" s="13">
        <v>12</v>
      </c>
      <c r="U26" s="13">
        <v>311.8</v>
      </c>
      <c r="V26" s="13">
        <v>1806.5</v>
      </c>
      <c r="W26" s="13" t="s">
        <v>115</v>
      </c>
      <c r="X26" s="13" t="s">
        <v>116</v>
      </c>
      <c r="Y26" s="13" t="s">
        <v>117</v>
      </c>
      <c r="Z26" s="17">
        <v>3</v>
      </c>
      <c r="AA26" s="17">
        <v>2</v>
      </c>
      <c r="AB26" s="13" t="s">
        <v>136</v>
      </c>
      <c r="AC26" s="13">
        <v>-80.525764</v>
      </c>
      <c r="AD26" s="13">
        <v>25.008119</v>
      </c>
      <c r="AE26" s="7" t="s">
        <v>119</v>
      </c>
      <c r="AF26" s="7" t="s">
        <v>120</v>
      </c>
      <c r="AG26" s="7" t="s">
        <v>121</v>
      </c>
      <c r="AH26" s="7" t="s">
        <v>96</v>
      </c>
      <c r="AI26" s="21"/>
      <c r="AJ26" s="9" t="s">
        <v>91</v>
      </c>
      <c r="AK26" s="7" t="s">
        <v>89</v>
      </c>
      <c r="AL26" s="9" t="s">
        <v>98</v>
      </c>
      <c r="AM26" s="7" t="s">
        <v>122</v>
      </c>
      <c r="AN26" s="22">
        <v>9.6</v>
      </c>
    </row>
    <row r="27" spans="1:40">
      <c r="A27" s="6" cm="1">
        <f t="array" ref="A27">IF(COUNTIF(B$2:B27,B27)&gt;1,INDEX(A$1:A26,MATCH(B27,B$1:B26,0)),MAX(A$1:A26)+1)</f>
        <v>4</v>
      </c>
      <c r="B27" s="9" t="s">
        <v>105</v>
      </c>
      <c r="C27" s="10" t="s">
        <v>106</v>
      </c>
      <c r="D27" s="11" t="s">
        <v>137</v>
      </c>
      <c r="E27" s="9" t="s">
        <v>138</v>
      </c>
      <c r="F27" s="9" t="s">
        <v>139</v>
      </c>
      <c r="G27" s="9" t="s">
        <v>140</v>
      </c>
      <c r="H27" s="9" t="s">
        <v>111</v>
      </c>
      <c r="I27" s="7" t="s">
        <v>112</v>
      </c>
      <c r="J27" s="9" t="s">
        <v>79</v>
      </c>
      <c r="K27" s="7" t="s">
        <v>113</v>
      </c>
      <c r="L27" s="9" t="s">
        <v>141</v>
      </c>
      <c r="M27" s="9" t="s">
        <v>129</v>
      </c>
      <c r="N27" s="12">
        <v>100</v>
      </c>
      <c r="O27" s="14"/>
      <c r="P27" s="14"/>
      <c r="Q27" s="14"/>
      <c r="R27" s="14"/>
      <c r="S27" s="14">
        <v>73.7</v>
      </c>
      <c r="T27" s="14">
        <v>8.4</v>
      </c>
      <c r="U27" s="14">
        <v>363.7</v>
      </c>
      <c r="V27" s="14">
        <v>415.3</v>
      </c>
      <c r="W27" s="14" t="s">
        <v>115</v>
      </c>
      <c r="X27" s="14" t="s">
        <v>116</v>
      </c>
      <c r="Y27" s="14" t="s">
        <v>117</v>
      </c>
      <c r="Z27" s="18">
        <v>3</v>
      </c>
      <c r="AA27" s="18">
        <v>3</v>
      </c>
      <c r="AB27" s="14" t="s">
        <v>118</v>
      </c>
      <c r="AC27" s="14">
        <v>-80.525764</v>
      </c>
      <c r="AD27" s="14">
        <v>25.008119</v>
      </c>
      <c r="AE27" s="9" t="s">
        <v>119</v>
      </c>
      <c r="AF27" s="9" t="s">
        <v>120</v>
      </c>
      <c r="AG27" s="9" t="s">
        <v>121</v>
      </c>
      <c r="AH27" s="9" t="s">
        <v>96</v>
      </c>
      <c r="AI27" s="6"/>
      <c r="AJ27" s="9" t="s">
        <v>91</v>
      </c>
      <c r="AK27" s="7" t="s">
        <v>89</v>
      </c>
      <c r="AL27" s="9" t="s">
        <v>98</v>
      </c>
      <c r="AM27" s="7" t="s">
        <v>122</v>
      </c>
      <c r="AN27" s="22">
        <v>9.9</v>
      </c>
    </row>
    <row r="28" spans="1:40">
      <c r="A28" s="6" cm="1">
        <f t="array" ref="A28">IF(COUNTIF(B$2:B28,B28)&gt;1,INDEX(A$1:A27,MATCH(B28,B$1:B27,0)),MAX(A$1:A27)+1)</f>
        <v>5</v>
      </c>
      <c r="B28" s="7" t="s">
        <v>142</v>
      </c>
      <c r="C28" s="3" t="s">
        <v>143</v>
      </c>
      <c r="D28" s="8" t="s">
        <v>144</v>
      </c>
      <c r="E28" s="7" t="s">
        <v>145</v>
      </c>
      <c r="F28" s="7" t="s">
        <v>146</v>
      </c>
      <c r="G28" s="7" t="s">
        <v>134</v>
      </c>
      <c r="H28" s="7" t="s">
        <v>147</v>
      </c>
      <c r="I28" s="7" t="s">
        <v>78</v>
      </c>
      <c r="J28" s="7" t="s">
        <v>79</v>
      </c>
      <c r="K28" s="7" t="s">
        <v>113</v>
      </c>
      <c r="L28" s="7" t="s">
        <v>148</v>
      </c>
      <c r="M28" s="9" t="s">
        <v>129</v>
      </c>
      <c r="N28" s="15">
        <v>150</v>
      </c>
      <c r="O28" s="13">
        <v>2600</v>
      </c>
      <c r="P28" s="13">
        <v>3700</v>
      </c>
      <c r="Q28" s="13">
        <v>84</v>
      </c>
      <c r="R28" s="13">
        <v>90</v>
      </c>
      <c r="S28" s="13">
        <v>51.9</v>
      </c>
      <c r="T28" s="13">
        <v>8.6</v>
      </c>
      <c r="U28" s="13">
        <v>248.8</v>
      </c>
      <c r="V28" s="13">
        <v>995</v>
      </c>
      <c r="W28" s="13" t="s">
        <v>115</v>
      </c>
      <c r="X28" s="13" t="s">
        <v>116</v>
      </c>
      <c r="Y28" s="13" t="s">
        <v>149</v>
      </c>
      <c r="Z28" s="17">
        <v>3</v>
      </c>
      <c r="AA28" s="17">
        <v>1</v>
      </c>
      <c r="AB28" s="13" t="s">
        <v>136</v>
      </c>
      <c r="AC28" s="13">
        <v>106.691666666666</v>
      </c>
      <c r="AD28" s="13">
        <v>-5.975</v>
      </c>
      <c r="AE28" s="7" t="s">
        <v>150</v>
      </c>
      <c r="AF28" s="7"/>
      <c r="AG28" s="7" t="s">
        <v>151</v>
      </c>
      <c r="AH28" s="7" t="s">
        <v>87</v>
      </c>
      <c r="AI28" s="21"/>
      <c r="AJ28" s="7" t="s">
        <v>152</v>
      </c>
      <c r="AK28" s="7" t="s">
        <v>153</v>
      </c>
      <c r="AL28" s="7" t="s">
        <v>98</v>
      </c>
      <c r="AM28" s="7" t="s">
        <v>154</v>
      </c>
      <c r="AN28" s="22">
        <v>320</v>
      </c>
    </row>
    <row r="29" spans="1:40">
      <c r="A29" s="6" cm="1">
        <f t="array" ref="A29">IF(COUNTIF(B$2:B29,B29)&gt;1,INDEX(A$1:A28,MATCH(B29,B$1:B28,0)),MAX(A$1:A28)+1)</f>
        <v>6</v>
      </c>
      <c r="B29" s="9" t="s">
        <v>155</v>
      </c>
      <c r="C29" s="10" t="s">
        <v>73</v>
      </c>
      <c r="D29" s="11" t="s">
        <v>156</v>
      </c>
      <c r="E29" s="9" t="s">
        <v>108</v>
      </c>
      <c r="F29" s="9" t="s">
        <v>157</v>
      </c>
      <c r="G29" s="9" t="s">
        <v>158</v>
      </c>
      <c r="H29" s="9" t="s">
        <v>159</v>
      </c>
      <c r="I29" s="9" t="s">
        <v>160</v>
      </c>
      <c r="J29" s="9" t="s">
        <v>79</v>
      </c>
      <c r="K29" s="7" t="s">
        <v>161</v>
      </c>
      <c r="L29" s="9"/>
      <c r="M29" s="9" t="s">
        <v>81</v>
      </c>
      <c r="N29" s="12">
        <v>1000</v>
      </c>
      <c r="O29" s="14"/>
      <c r="P29" s="14">
        <v>1082</v>
      </c>
      <c r="Q29" s="14"/>
      <c r="R29" s="14"/>
      <c r="S29" s="14">
        <v>58.5</v>
      </c>
      <c r="T29" s="14">
        <v>20.8</v>
      </c>
      <c r="U29" s="14">
        <v>263.4</v>
      </c>
      <c r="V29" s="14">
        <v>843.4</v>
      </c>
      <c r="W29" s="14" t="s">
        <v>82</v>
      </c>
      <c r="X29" s="14" t="s">
        <v>162</v>
      </c>
      <c r="Y29" s="14" t="s">
        <v>149</v>
      </c>
      <c r="Z29" s="18">
        <v>3</v>
      </c>
      <c r="AA29" s="18">
        <v>2</v>
      </c>
      <c r="AB29" s="14" t="s">
        <v>136</v>
      </c>
      <c r="AC29" s="14">
        <v>71.792282</v>
      </c>
      <c r="AD29" s="14">
        <v>34.768449</v>
      </c>
      <c r="AE29" s="9" t="s">
        <v>163</v>
      </c>
      <c r="AF29" s="9"/>
      <c r="AG29" s="9" t="s">
        <v>86</v>
      </c>
      <c r="AH29" s="9" t="s">
        <v>87</v>
      </c>
      <c r="AI29" s="6">
        <v>2022</v>
      </c>
      <c r="AJ29" s="7" t="s">
        <v>88</v>
      </c>
      <c r="AK29" s="9" t="s">
        <v>89</v>
      </c>
      <c r="AL29" s="9" t="s">
        <v>90</v>
      </c>
      <c r="AM29" s="9"/>
      <c r="AN29" s="22">
        <v>44.6</v>
      </c>
    </row>
    <row r="30" spans="1:40">
      <c r="A30" s="6" cm="1">
        <f t="array" ref="A30">IF(COUNTIF(B$2:B30,B30)&gt;1,INDEX(A$1:A29,MATCH(B30,B$1:B29,0)),MAX(A$1:A29)+1)</f>
        <v>6</v>
      </c>
      <c r="B30" s="7" t="s">
        <v>155</v>
      </c>
      <c r="C30" s="3" t="s">
        <v>73</v>
      </c>
      <c r="D30" s="11" t="s">
        <v>156</v>
      </c>
      <c r="E30" s="9" t="s">
        <v>108</v>
      </c>
      <c r="F30" s="9" t="s">
        <v>157</v>
      </c>
      <c r="G30" s="9" t="s">
        <v>158</v>
      </c>
      <c r="H30" s="9" t="s">
        <v>159</v>
      </c>
      <c r="I30" s="9" t="s">
        <v>160</v>
      </c>
      <c r="J30" s="9" t="s">
        <v>79</v>
      </c>
      <c r="K30" s="7" t="s">
        <v>161</v>
      </c>
      <c r="L30" s="7"/>
      <c r="M30" s="7" t="s">
        <v>81</v>
      </c>
      <c r="N30" s="12">
        <v>1000</v>
      </c>
      <c r="O30" s="14"/>
      <c r="P30" s="13">
        <v>1082</v>
      </c>
      <c r="Q30" s="13"/>
      <c r="R30" s="13"/>
      <c r="S30" s="13">
        <v>58.5</v>
      </c>
      <c r="T30" s="13">
        <v>20.8</v>
      </c>
      <c r="U30" s="13">
        <v>263.4</v>
      </c>
      <c r="V30" s="13">
        <v>843.4</v>
      </c>
      <c r="W30" s="13" t="s">
        <v>82</v>
      </c>
      <c r="X30" s="13" t="s">
        <v>162</v>
      </c>
      <c r="Y30" s="13" t="s">
        <v>149</v>
      </c>
      <c r="Z30" s="17">
        <v>3</v>
      </c>
      <c r="AA30" s="17">
        <v>2</v>
      </c>
      <c r="AB30" s="13" t="s">
        <v>136</v>
      </c>
      <c r="AC30" s="13">
        <v>71.792282</v>
      </c>
      <c r="AD30" s="13">
        <v>34.768449</v>
      </c>
      <c r="AE30" s="7" t="s">
        <v>163</v>
      </c>
      <c r="AF30" s="7"/>
      <c r="AG30" s="7" t="s">
        <v>86</v>
      </c>
      <c r="AH30" s="7" t="s">
        <v>87</v>
      </c>
      <c r="AI30" s="21">
        <v>2022</v>
      </c>
      <c r="AJ30" s="9" t="s">
        <v>91</v>
      </c>
      <c r="AK30" s="9" t="s">
        <v>89</v>
      </c>
      <c r="AL30" s="9" t="s">
        <v>90</v>
      </c>
      <c r="AM30" s="7"/>
      <c r="AN30" s="22">
        <v>57.05</v>
      </c>
    </row>
    <row r="31" spans="1:40">
      <c r="A31" s="6" cm="1">
        <f t="array" ref="A31">IF(COUNTIF(B$2:B31,B31)&gt;1,INDEX(A$1:A30,MATCH(B31,B$1:B30,0)),MAX(A$1:A30)+1)</f>
        <v>7</v>
      </c>
      <c r="B31" s="9" t="s">
        <v>164</v>
      </c>
      <c r="C31" s="10" t="s">
        <v>165</v>
      </c>
      <c r="D31" s="11" t="s">
        <v>166</v>
      </c>
      <c r="E31" s="9" t="s">
        <v>167</v>
      </c>
      <c r="F31" s="9" t="s">
        <v>168</v>
      </c>
      <c r="G31" s="9" t="s">
        <v>169</v>
      </c>
      <c r="H31" s="9" t="s">
        <v>170</v>
      </c>
      <c r="I31" s="9" t="s">
        <v>160</v>
      </c>
      <c r="J31" s="9" t="s">
        <v>79</v>
      </c>
      <c r="K31" s="9" t="s">
        <v>80</v>
      </c>
      <c r="L31" s="9"/>
      <c r="M31" s="9" t="s">
        <v>115</v>
      </c>
      <c r="N31" s="12">
        <v>2800</v>
      </c>
      <c r="O31" s="14">
        <v>2000</v>
      </c>
      <c r="P31" s="14">
        <v>2700</v>
      </c>
      <c r="Q31" s="14"/>
      <c r="R31" s="14"/>
      <c r="S31" s="14">
        <v>60</v>
      </c>
      <c r="T31" s="14">
        <v>14.8</v>
      </c>
      <c r="U31" s="14">
        <v>410.1</v>
      </c>
      <c r="V31" s="14">
        <v>1881.7</v>
      </c>
      <c r="W31" s="14" t="s">
        <v>81</v>
      </c>
      <c r="X31" s="14" t="s">
        <v>171</v>
      </c>
      <c r="Y31" s="14" t="s">
        <v>172</v>
      </c>
      <c r="Z31" s="18">
        <v>3</v>
      </c>
      <c r="AA31" s="18">
        <v>2</v>
      </c>
      <c r="AB31" s="14" t="s">
        <v>84</v>
      </c>
      <c r="AC31" s="14">
        <v>-90.519826</v>
      </c>
      <c r="AD31" s="14">
        <v>19.838122</v>
      </c>
      <c r="AE31" s="9" t="s">
        <v>173</v>
      </c>
      <c r="AF31" s="9" t="s">
        <v>174</v>
      </c>
      <c r="AG31" s="9" t="s">
        <v>95</v>
      </c>
      <c r="AH31" s="9" t="s">
        <v>96</v>
      </c>
      <c r="AI31" s="6">
        <v>2019</v>
      </c>
      <c r="AJ31" s="9" t="s">
        <v>175</v>
      </c>
      <c r="AK31" s="9" t="s">
        <v>176</v>
      </c>
      <c r="AL31" s="9" t="s">
        <v>90</v>
      </c>
      <c r="AM31" s="9" t="s">
        <v>177</v>
      </c>
      <c r="AN31" s="22">
        <v>9.37</v>
      </c>
    </row>
    <row r="32" spans="1:40">
      <c r="A32" s="6" cm="1">
        <f t="array" ref="A32">IF(COUNTIF(B$2:B32,B32)&gt;1,INDEX(A$1:A31,MATCH(B32,B$1:B31,0)),MAX(A$1:A31)+1)</f>
        <v>7</v>
      </c>
      <c r="B32" s="7" t="s">
        <v>164</v>
      </c>
      <c r="C32" s="3" t="s">
        <v>165</v>
      </c>
      <c r="D32" s="8" t="s">
        <v>166</v>
      </c>
      <c r="E32" s="7" t="s">
        <v>167</v>
      </c>
      <c r="F32" s="7" t="s">
        <v>168</v>
      </c>
      <c r="G32" s="7" t="s">
        <v>169</v>
      </c>
      <c r="H32" s="7" t="s">
        <v>170</v>
      </c>
      <c r="I32" s="7" t="s">
        <v>160</v>
      </c>
      <c r="J32" s="7" t="s">
        <v>79</v>
      </c>
      <c r="K32" s="7" t="s">
        <v>80</v>
      </c>
      <c r="L32" s="7"/>
      <c r="M32" s="7" t="s">
        <v>115</v>
      </c>
      <c r="N32" s="12">
        <v>2800</v>
      </c>
      <c r="O32" s="14">
        <v>2000</v>
      </c>
      <c r="P32" s="13">
        <v>2700</v>
      </c>
      <c r="Q32" s="13"/>
      <c r="R32" s="13"/>
      <c r="S32" s="13">
        <v>60</v>
      </c>
      <c r="T32" s="13">
        <v>14.8</v>
      </c>
      <c r="U32" s="13">
        <v>410.1</v>
      </c>
      <c r="V32" s="13">
        <v>1881.7</v>
      </c>
      <c r="W32" s="13" t="s">
        <v>81</v>
      </c>
      <c r="X32" s="13" t="s">
        <v>171</v>
      </c>
      <c r="Y32" s="13" t="s">
        <v>172</v>
      </c>
      <c r="Z32" s="17">
        <v>3</v>
      </c>
      <c r="AA32" s="17">
        <v>2</v>
      </c>
      <c r="AB32" s="13" t="s">
        <v>84</v>
      </c>
      <c r="AC32" s="13">
        <v>-90.519826</v>
      </c>
      <c r="AD32" s="13">
        <v>19.838122</v>
      </c>
      <c r="AE32" s="7" t="s">
        <v>173</v>
      </c>
      <c r="AF32" s="7" t="s">
        <v>174</v>
      </c>
      <c r="AG32" s="7" t="s">
        <v>95</v>
      </c>
      <c r="AH32" s="7" t="s">
        <v>96</v>
      </c>
      <c r="AI32" s="21">
        <v>2020</v>
      </c>
      <c r="AJ32" s="7" t="s">
        <v>175</v>
      </c>
      <c r="AK32" s="9" t="s">
        <v>176</v>
      </c>
      <c r="AL32" s="9" t="s">
        <v>90</v>
      </c>
      <c r="AM32" s="9" t="s">
        <v>177</v>
      </c>
      <c r="AN32" s="22">
        <v>6.83</v>
      </c>
    </row>
    <row r="33" spans="1:40">
      <c r="A33" s="6" cm="1">
        <f t="array" ref="A33">IF(COUNTIF(B$2:B33,B33)&gt;1,INDEX(A$1:A32,MATCH(B33,B$1:B32,0)),MAX(A$1:A32)+1)</f>
        <v>8</v>
      </c>
      <c r="B33" s="9" t="s">
        <v>178</v>
      </c>
      <c r="C33" s="10" t="s">
        <v>179</v>
      </c>
      <c r="D33" s="11" t="s">
        <v>180</v>
      </c>
      <c r="E33" s="9" t="s">
        <v>181</v>
      </c>
      <c r="F33" s="9" t="s">
        <v>182</v>
      </c>
      <c r="G33" s="9" t="s">
        <v>183</v>
      </c>
      <c r="H33" s="9" t="s">
        <v>184</v>
      </c>
      <c r="I33" s="9" t="s">
        <v>160</v>
      </c>
      <c r="J33" s="9" t="s">
        <v>79</v>
      </c>
      <c r="K33" s="9" t="s">
        <v>185</v>
      </c>
      <c r="L33" s="9" t="s">
        <v>186</v>
      </c>
      <c r="M33" s="9" t="s">
        <v>129</v>
      </c>
      <c r="N33" s="12">
        <v>300</v>
      </c>
      <c r="O33" s="14">
        <v>450</v>
      </c>
      <c r="P33" s="14">
        <v>1000</v>
      </c>
      <c r="Q33" s="14">
        <v>45</v>
      </c>
      <c r="R33" s="14">
        <v>50</v>
      </c>
      <c r="S33" s="14">
        <v>41.3</v>
      </c>
      <c r="T33" s="14">
        <v>11.9</v>
      </c>
      <c r="U33" s="14">
        <v>321.1</v>
      </c>
      <c r="V33" s="14">
        <v>611.9</v>
      </c>
      <c r="W33" s="14" t="s">
        <v>115</v>
      </c>
      <c r="X33" s="14" t="s">
        <v>116</v>
      </c>
      <c r="Y33" s="14" t="s">
        <v>117</v>
      </c>
      <c r="Z33" s="18">
        <v>3</v>
      </c>
      <c r="AA33" s="18">
        <v>3</v>
      </c>
      <c r="AB33" s="14" t="s">
        <v>136</v>
      </c>
      <c r="AC33" s="14">
        <v>67.2333</v>
      </c>
      <c r="AD33" s="14">
        <v>62.4667</v>
      </c>
      <c r="AE33" s="9" t="s">
        <v>187</v>
      </c>
      <c r="AF33" s="9" t="s">
        <v>188</v>
      </c>
      <c r="AG33" s="9" t="s">
        <v>189</v>
      </c>
      <c r="AH33" s="9" t="s">
        <v>96</v>
      </c>
      <c r="AI33" s="6">
        <v>2018</v>
      </c>
      <c r="AJ33" s="9" t="s">
        <v>152</v>
      </c>
      <c r="AK33" s="9" t="s">
        <v>89</v>
      </c>
      <c r="AL33" s="9" t="s">
        <v>98</v>
      </c>
      <c r="AM33" s="9" t="s">
        <v>190</v>
      </c>
      <c r="AN33" s="22">
        <v>1.8</v>
      </c>
    </row>
    <row r="34" spans="1:40">
      <c r="A34" s="6" cm="1">
        <f t="array" ref="A34">IF(COUNTIF(B$2:B34,B34)&gt;1,INDEX(A$1:A33,MATCH(B34,B$1:B33,0)),MAX(A$1:A33)+1)</f>
        <v>8</v>
      </c>
      <c r="B34" s="7" t="s">
        <v>178</v>
      </c>
      <c r="C34" s="3" t="s">
        <v>179</v>
      </c>
      <c r="D34" s="8" t="s">
        <v>180</v>
      </c>
      <c r="E34" s="7" t="s">
        <v>181</v>
      </c>
      <c r="F34" s="7" t="s">
        <v>182</v>
      </c>
      <c r="G34" s="7" t="s">
        <v>183</v>
      </c>
      <c r="H34" s="7" t="s">
        <v>184</v>
      </c>
      <c r="I34" s="7" t="s">
        <v>160</v>
      </c>
      <c r="J34" s="7" t="s">
        <v>79</v>
      </c>
      <c r="K34" s="7" t="s">
        <v>185</v>
      </c>
      <c r="L34" s="7" t="s">
        <v>186</v>
      </c>
      <c r="M34" s="9" t="s">
        <v>129</v>
      </c>
      <c r="N34" s="12">
        <v>300</v>
      </c>
      <c r="O34" s="14">
        <v>450</v>
      </c>
      <c r="P34" s="13">
        <v>1000</v>
      </c>
      <c r="Q34" s="13">
        <v>45</v>
      </c>
      <c r="R34" s="13">
        <v>50</v>
      </c>
      <c r="S34" s="13">
        <v>41.3</v>
      </c>
      <c r="T34" s="13">
        <v>11.9</v>
      </c>
      <c r="U34" s="13">
        <v>321.1</v>
      </c>
      <c r="V34" s="13">
        <v>611.9</v>
      </c>
      <c r="W34" s="13" t="s">
        <v>115</v>
      </c>
      <c r="X34" s="13" t="s">
        <v>116</v>
      </c>
      <c r="Y34" s="13" t="s">
        <v>117</v>
      </c>
      <c r="Z34" s="17">
        <v>3</v>
      </c>
      <c r="AA34" s="17">
        <v>3</v>
      </c>
      <c r="AB34" s="13" t="s">
        <v>136</v>
      </c>
      <c r="AC34" s="13">
        <v>67.2333</v>
      </c>
      <c r="AD34" s="13">
        <v>62.4667</v>
      </c>
      <c r="AE34" s="7" t="s">
        <v>187</v>
      </c>
      <c r="AF34" s="7" t="s">
        <v>188</v>
      </c>
      <c r="AG34" s="7" t="s">
        <v>189</v>
      </c>
      <c r="AH34" s="9" t="s">
        <v>96</v>
      </c>
      <c r="AI34" s="21">
        <v>2018</v>
      </c>
      <c r="AJ34" s="7" t="s">
        <v>191</v>
      </c>
      <c r="AK34" s="9" t="s">
        <v>89</v>
      </c>
      <c r="AL34" s="9" t="s">
        <v>98</v>
      </c>
      <c r="AM34" s="9" t="s">
        <v>190</v>
      </c>
      <c r="AN34" s="22">
        <v>0.89</v>
      </c>
    </row>
    <row r="35" spans="1:40">
      <c r="A35" s="6" cm="1">
        <f t="array" ref="A35">IF(COUNTIF(B$2:B35,B35)&gt;1,INDEX(A$1:A34,MATCH(B35,B$1:B34,0)),MAX(A$1:A34)+1)</f>
        <v>8</v>
      </c>
      <c r="B35" s="9" t="s">
        <v>178</v>
      </c>
      <c r="C35" s="10" t="s">
        <v>179</v>
      </c>
      <c r="D35" s="11" t="s">
        <v>192</v>
      </c>
      <c r="E35" s="9" t="s">
        <v>108</v>
      </c>
      <c r="F35" s="9" t="s">
        <v>193</v>
      </c>
      <c r="G35" s="9" t="s">
        <v>140</v>
      </c>
      <c r="H35" s="9" t="s">
        <v>194</v>
      </c>
      <c r="I35" s="9" t="s">
        <v>160</v>
      </c>
      <c r="J35" s="9" t="s">
        <v>79</v>
      </c>
      <c r="K35" s="9" t="s">
        <v>185</v>
      </c>
      <c r="L35" s="9" t="s">
        <v>195</v>
      </c>
      <c r="M35" s="9" t="s">
        <v>129</v>
      </c>
      <c r="N35" s="12"/>
      <c r="O35" s="14">
        <v>750</v>
      </c>
      <c r="P35" s="14">
        <v>1481</v>
      </c>
      <c r="Q35" s="14"/>
      <c r="R35" s="14">
        <v>45</v>
      </c>
      <c r="S35" s="14">
        <v>49.3</v>
      </c>
      <c r="T35" s="14">
        <v>8.6</v>
      </c>
      <c r="U35" s="14">
        <v>206.8</v>
      </c>
      <c r="V35" s="14">
        <v>964</v>
      </c>
      <c r="W35" s="14" t="s">
        <v>115</v>
      </c>
      <c r="X35" s="14" t="s">
        <v>116</v>
      </c>
      <c r="Y35" s="14" t="s">
        <v>117</v>
      </c>
      <c r="Z35" s="18">
        <v>3</v>
      </c>
      <c r="AA35" s="18">
        <v>3</v>
      </c>
      <c r="AB35" s="14" t="s">
        <v>136</v>
      </c>
      <c r="AC35" s="14">
        <v>66.9333</v>
      </c>
      <c r="AD35" s="14">
        <v>61.7667</v>
      </c>
      <c r="AE35" s="9" t="s">
        <v>196</v>
      </c>
      <c r="AF35" s="9" t="s">
        <v>188</v>
      </c>
      <c r="AG35" s="9" t="s">
        <v>197</v>
      </c>
      <c r="AH35" s="9" t="s">
        <v>96</v>
      </c>
      <c r="AI35" s="6">
        <v>2018</v>
      </c>
      <c r="AJ35" s="9" t="s">
        <v>191</v>
      </c>
      <c r="AK35" s="9" t="s">
        <v>89</v>
      </c>
      <c r="AL35" s="9" t="s">
        <v>98</v>
      </c>
      <c r="AM35" s="9" t="s">
        <v>190</v>
      </c>
      <c r="AN35" s="22">
        <v>0.33</v>
      </c>
    </row>
    <row r="36" spans="1:40">
      <c r="A36" s="6" cm="1">
        <f t="array" ref="A36">IF(COUNTIF(B$2:B36,B36)&gt;1,INDEX(A$1:A35,MATCH(B36,B$1:B35,0)),MAX(A$1:A35)+1)</f>
        <v>9</v>
      </c>
      <c r="B36" s="9" t="s">
        <v>198</v>
      </c>
      <c r="C36" s="10" t="s">
        <v>199</v>
      </c>
      <c r="D36" s="11" t="s">
        <v>200</v>
      </c>
      <c r="E36" s="9" t="s">
        <v>201</v>
      </c>
      <c r="F36" s="9" t="s">
        <v>202</v>
      </c>
      <c r="G36" s="9" t="s">
        <v>203</v>
      </c>
      <c r="H36" s="9" t="s">
        <v>204</v>
      </c>
      <c r="I36" s="9" t="s">
        <v>112</v>
      </c>
      <c r="J36" s="9" t="s">
        <v>79</v>
      </c>
      <c r="K36" s="7" t="s">
        <v>80</v>
      </c>
      <c r="L36" s="9"/>
      <c r="M36" s="7" t="s">
        <v>115</v>
      </c>
      <c r="N36" s="12">
        <v>2500</v>
      </c>
      <c r="O36" s="14">
        <v>500</v>
      </c>
      <c r="P36" s="14">
        <v>700</v>
      </c>
      <c r="Q36" s="14">
        <v>43</v>
      </c>
      <c r="R36" s="14">
        <v>61</v>
      </c>
      <c r="S36" s="14">
        <v>33.1</v>
      </c>
      <c r="T36" s="14">
        <v>11.8</v>
      </c>
      <c r="U36" s="14">
        <v>319</v>
      </c>
      <c r="V36" s="14">
        <v>603.7</v>
      </c>
      <c r="W36" s="14" t="s">
        <v>115</v>
      </c>
      <c r="X36" s="14" t="s">
        <v>205</v>
      </c>
      <c r="Y36" s="14" t="s">
        <v>206</v>
      </c>
      <c r="Z36" s="18">
        <v>1</v>
      </c>
      <c r="AA36" s="18">
        <v>3</v>
      </c>
      <c r="AB36" s="14" t="s">
        <v>118</v>
      </c>
      <c r="AC36" s="14">
        <v>-81.736284</v>
      </c>
      <c r="AD36" s="14">
        <v>28.422807</v>
      </c>
      <c r="AE36" s="9" t="s">
        <v>207</v>
      </c>
      <c r="AF36" s="9" t="s">
        <v>120</v>
      </c>
      <c r="AG36" s="9" t="s">
        <v>208</v>
      </c>
      <c r="AH36" s="9" t="s">
        <v>96</v>
      </c>
      <c r="AI36" s="6">
        <v>2018</v>
      </c>
      <c r="AJ36" s="23" t="s">
        <v>152</v>
      </c>
      <c r="AK36" s="7" t="s">
        <v>89</v>
      </c>
      <c r="AL36" s="9" t="s">
        <v>98</v>
      </c>
      <c r="AM36" s="9" t="s">
        <v>209</v>
      </c>
      <c r="AN36" s="22">
        <v>24.03</v>
      </c>
    </row>
    <row r="37" spans="1:40">
      <c r="A37" s="6" cm="1">
        <f t="array" ref="A37">IF(COUNTIF(B$2:B37,B37)&gt;1,INDEX(A$1:A36,MATCH(B37,B$1:B36,0)),MAX(A$1:A36)+1)</f>
        <v>9</v>
      </c>
      <c r="B37" s="7" t="s">
        <v>198</v>
      </c>
      <c r="C37" s="3" t="s">
        <v>199</v>
      </c>
      <c r="D37" s="8" t="s">
        <v>210</v>
      </c>
      <c r="E37" s="7" t="s">
        <v>108</v>
      </c>
      <c r="F37" s="7" t="s">
        <v>211</v>
      </c>
      <c r="G37" s="7" t="s">
        <v>203</v>
      </c>
      <c r="H37" s="7" t="s">
        <v>212</v>
      </c>
      <c r="I37" s="7" t="s">
        <v>112</v>
      </c>
      <c r="J37" s="7" t="s">
        <v>79</v>
      </c>
      <c r="K37" s="7" t="s">
        <v>80</v>
      </c>
      <c r="L37" s="7" t="s">
        <v>213</v>
      </c>
      <c r="M37" s="9" t="s">
        <v>129</v>
      </c>
      <c r="N37" s="15">
        <v>1000</v>
      </c>
      <c r="O37" s="13">
        <v>1200</v>
      </c>
      <c r="P37" s="13">
        <v>2000</v>
      </c>
      <c r="Q37" s="13">
        <v>55</v>
      </c>
      <c r="R37" s="13">
        <v>58</v>
      </c>
      <c r="S37" s="13">
        <v>47</v>
      </c>
      <c r="T37" s="13">
        <v>17.3</v>
      </c>
      <c r="U37" s="13">
        <v>468.4</v>
      </c>
      <c r="V37" s="13">
        <v>1483.2</v>
      </c>
      <c r="W37" s="13" t="s">
        <v>115</v>
      </c>
      <c r="X37" s="13" t="s">
        <v>116</v>
      </c>
      <c r="Y37" s="13" t="s">
        <v>117</v>
      </c>
      <c r="Z37" s="17">
        <v>3</v>
      </c>
      <c r="AA37" s="17">
        <v>3</v>
      </c>
      <c r="AB37" s="13" t="s">
        <v>118</v>
      </c>
      <c r="AC37" s="13">
        <v>-81.736284</v>
      </c>
      <c r="AD37" s="13">
        <v>28.422807</v>
      </c>
      <c r="AE37" s="7" t="s">
        <v>207</v>
      </c>
      <c r="AF37" s="7" t="s">
        <v>120</v>
      </c>
      <c r="AG37" s="7" t="s">
        <v>208</v>
      </c>
      <c r="AH37" s="7" t="s">
        <v>96</v>
      </c>
      <c r="AI37" s="21">
        <v>2018</v>
      </c>
      <c r="AJ37" s="23" t="s">
        <v>152</v>
      </c>
      <c r="AK37" s="7" t="s">
        <v>89</v>
      </c>
      <c r="AL37" s="9" t="s">
        <v>98</v>
      </c>
      <c r="AM37" s="9" t="s">
        <v>209</v>
      </c>
      <c r="AN37" s="22">
        <v>19.26</v>
      </c>
    </row>
    <row r="38" spans="1:40">
      <c r="A38" s="6" cm="1">
        <f t="array" ref="A38">IF(COUNTIF(B$2:B38,B38)&gt;1,INDEX(A$1:A37,MATCH(B38,B$1:B37,0)),MAX(A$1:A37)+1)</f>
        <v>9</v>
      </c>
      <c r="B38" s="9" t="s">
        <v>198</v>
      </c>
      <c r="C38" s="10" t="s">
        <v>199</v>
      </c>
      <c r="D38" s="11" t="s">
        <v>214</v>
      </c>
      <c r="E38" s="9" t="s">
        <v>215</v>
      </c>
      <c r="F38" s="9" t="s">
        <v>216</v>
      </c>
      <c r="G38" s="9" t="s">
        <v>217</v>
      </c>
      <c r="H38" s="9" t="s">
        <v>218</v>
      </c>
      <c r="I38" s="9" t="s">
        <v>78</v>
      </c>
      <c r="J38" s="9" t="s">
        <v>79</v>
      </c>
      <c r="K38" s="9" t="s">
        <v>80</v>
      </c>
      <c r="L38" s="9"/>
      <c r="M38" s="9" t="s">
        <v>115</v>
      </c>
      <c r="N38" s="12">
        <v>3100</v>
      </c>
      <c r="O38" s="14">
        <v>630</v>
      </c>
      <c r="P38" s="14">
        <v>800</v>
      </c>
      <c r="Q38" s="14">
        <v>48</v>
      </c>
      <c r="R38" s="14">
        <v>51</v>
      </c>
      <c r="S38" s="14">
        <v>38.8</v>
      </c>
      <c r="T38" s="14">
        <v>11.2</v>
      </c>
      <c r="U38" s="14">
        <v>341.2</v>
      </c>
      <c r="V38" s="14">
        <v>711.5</v>
      </c>
      <c r="W38" s="14" t="s">
        <v>115</v>
      </c>
      <c r="X38" s="14" t="s">
        <v>205</v>
      </c>
      <c r="Y38" s="14" t="s">
        <v>83</v>
      </c>
      <c r="Z38" s="18">
        <v>2</v>
      </c>
      <c r="AA38" s="18">
        <v>1</v>
      </c>
      <c r="AB38" s="14" t="s">
        <v>219</v>
      </c>
      <c r="AC38" s="14">
        <v>-81.736284</v>
      </c>
      <c r="AD38" s="14">
        <v>28.422807</v>
      </c>
      <c r="AE38" s="9" t="s">
        <v>207</v>
      </c>
      <c r="AF38" s="9" t="s">
        <v>120</v>
      </c>
      <c r="AG38" s="9" t="s">
        <v>208</v>
      </c>
      <c r="AH38" s="9" t="s">
        <v>96</v>
      </c>
      <c r="AI38" s="6">
        <v>2018</v>
      </c>
      <c r="AJ38" s="23" t="s">
        <v>152</v>
      </c>
      <c r="AK38" s="7" t="s">
        <v>89</v>
      </c>
      <c r="AL38" s="9" t="s">
        <v>98</v>
      </c>
      <c r="AM38" s="9" t="s">
        <v>209</v>
      </c>
      <c r="AN38" s="22">
        <v>6.14</v>
      </c>
    </row>
    <row r="39" spans="1:40">
      <c r="A39" s="6" cm="1">
        <f t="array" ref="A39">IF(COUNTIF(B$2:B39,B39)&gt;1,INDEX(A$1:A38,MATCH(B39,B$1:B38,0)),MAX(A$1:A38)+1)</f>
        <v>9</v>
      </c>
      <c r="B39" s="7" t="s">
        <v>198</v>
      </c>
      <c r="C39" s="3" t="s">
        <v>199</v>
      </c>
      <c r="D39" s="8" t="s">
        <v>220</v>
      </c>
      <c r="E39" s="7" t="s">
        <v>108</v>
      </c>
      <c r="F39" s="7" t="s">
        <v>221</v>
      </c>
      <c r="G39" s="7" t="s">
        <v>217</v>
      </c>
      <c r="H39" s="7" t="s">
        <v>218</v>
      </c>
      <c r="I39" s="7" t="s">
        <v>78</v>
      </c>
      <c r="J39" s="7" t="s">
        <v>79</v>
      </c>
      <c r="K39" s="7" t="s">
        <v>80</v>
      </c>
      <c r="L39" s="7"/>
      <c r="M39" s="7" t="s">
        <v>115</v>
      </c>
      <c r="N39" s="15">
        <v>1500</v>
      </c>
      <c r="O39" s="13">
        <v>600</v>
      </c>
      <c r="P39" s="13">
        <v>1000</v>
      </c>
      <c r="Q39" s="13">
        <v>96</v>
      </c>
      <c r="R39" s="13">
        <v>154</v>
      </c>
      <c r="S39" s="13">
        <v>22</v>
      </c>
      <c r="T39" s="13">
        <v>6.4</v>
      </c>
      <c r="U39" s="13">
        <v>168.5</v>
      </c>
      <c r="V39" s="13">
        <v>180</v>
      </c>
      <c r="W39" s="13" t="s">
        <v>115</v>
      </c>
      <c r="X39" s="13" t="s">
        <v>222</v>
      </c>
      <c r="Y39" s="13" t="s">
        <v>206</v>
      </c>
      <c r="Z39" s="17">
        <v>2</v>
      </c>
      <c r="AA39" s="17">
        <v>1</v>
      </c>
      <c r="AB39" s="13" t="s">
        <v>219</v>
      </c>
      <c r="AC39" s="13">
        <v>-81.736284</v>
      </c>
      <c r="AD39" s="13">
        <v>28.422807</v>
      </c>
      <c r="AE39" s="7" t="s">
        <v>207</v>
      </c>
      <c r="AF39" s="7" t="s">
        <v>120</v>
      </c>
      <c r="AG39" s="7" t="s">
        <v>208</v>
      </c>
      <c r="AH39" s="7" t="s">
        <v>96</v>
      </c>
      <c r="AI39" s="21">
        <v>2018</v>
      </c>
      <c r="AJ39" s="23" t="s">
        <v>152</v>
      </c>
      <c r="AK39" s="7" t="s">
        <v>89</v>
      </c>
      <c r="AL39" s="9" t="s">
        <v>98</v>
      </c>
      <c r="AM39" s="9" t="s">
        <v>209</v>
      </c>
      <c r="AN39" s="22">
        <v>9.82</v>
      </c>
    </row>
    <row r="40" spans="1:40">
      <c r="A40" s="6" cm="1">
        <f t="array" ref="A40">IF(COUNTIF(B$2:B40,B40)&gt;1,INDEX(A$1:A39,MATCH(B40,B$1:B39,0)),MAX(A$1:A39)+1)</f>
        <v>9</v>
      </c>
      <c r="B40" s="9" t="s">
        <v>198</v>
      </c>
      <c r="C40" s="10" t="s">
        <v>199</v>
      </c>
      <c r="D40" s="11" t="s">
        <v>166</v>
      </c>
      <c r="E40" s="9" t="s">
        <v>167</v>
      </c>
      <c r="F40" s="9" t="s">
        <v>168</v>
      </c>
      <c r="G40" s="9" t="s">
        <v>169</v>
      </c>
      <c r="H40" s="9" t="s">
        <v>170</v>
      </c>
      <c r="I40" s="9" t="s">
        <v>160</v>
      </c>
      <c r="J40" s="9" t="s">
        <v>79</v>
      </c>
      <c r="K40" s="9" t="s">
        <v>80</v>
      </c>
      <c r="L40" s="9"/>
      <c r="M40" s="9" t="s">
        <v>115</v>
      </c>
      <c r="N40" s="12">
        <v>2800</v>
      </c>
      <c r="O40" s="14">
        <v>2000</v>
      </c>
      <c r="P40" s="14">
        <v>2700</v>
      </c>
      <c r="Q40" s="14"/>
      <c r="R40" s="14"/>
      <c r="S40" s="14">
        <v>60</v>
      </c>
      <c r="T40" s="14">
        <v>14.8</v>
      </c>
      <c r="U40" s="14">
        <v>410.1</v>
      </c>
      <c r="V40" s="14">
        <v>1881.7</v>
      </c>
      <c r="W40" s="14" t="s">
        <v>81</v>
      </c>
      <c r="X40" s="14" t="s">
        <v>171</v>
      </c>
      <c r="Y40" s="14" t="s">
        <v>172</v>
      </c>
      <c r="Z40" s="18">
        <v>3</v>
      </c>
      <c r="AA40" s="18">
        <v>2</v>
      </c>
      <c r="AB40" s="14" t="s">
        <v>84</v>
      </c>
      <c r="AC40" s="14">
        <v>-81.736284</v>
      </c>
      <c r="AD40" s="14">
        <v>28.422807</v>
      </c>
      <c r="AE40" s="9" t="s">
        <v>207</v>
      </c>
      <c r="AF40" s="9" t="s">
        <v>120</v>
      </c>
      <c r="AG40" s="9" t="s">
        <v>208</v>
      </c>
      <c r="AH40" s="9" t="s">
        <v>96</v>
      </c>
      <c r="AI40" s="6">
        <v>2018</v>
      </c>
      <c r="AJ40" s="23" t="s">
        <v>152</v>
      </c>
      <c r="AK40" s="7" t="s">
        <v>89</v>
      </c>
      <c r="AL40" s="9" t="s">
        <v>98</v>
      </c>
      <c r="AM40" s="9" t="s">
        <v>209</v>
      </c>
      <c r="AN40" s="22">
        <v>9.32</v>
      </c>
    </row>
    <row r="41" spans="1:40">
      <c r="A41" s="6" cm="1">
        <f t="array" ref="A41">IF(COUNTIF(B$2:B41,B41)&gt;1,INDEX(A$1:A40,MATCH(B41,B$1:B40,0)),MAX(A$1:A40)+1)</f>
        <v>9</v>
      </c>
      <c r="B41" s="7" t="s">
        <v>198</v>
      </c>
      <c r="C41" s="3" t="s">
        <v>199</v>
      </c>
      <c r="D41" s="8" t="s">
        <v>223</v>
      </c>
      <c r="E41" s="7" t="s">
        <v>108</v>
      </c>
      <c r="F41" s="7" t="s">
        <v>224</v>
      </c>
      <c r="G41" s="7" t="s">
        <v>169</v>
      </c>
      <c r="H41" s="7" t="s">
        <v>170</v>
      </c>
      <c r="I41" s="7" t="s">
        <v>112</v>
      </c>
      <c r="J41" s="7" t="s">
        <v>79</v>
      </c>
      <c r="K41" s="7" t="s">
        <v>80</v>
      </c>
      <c r="L41" s="7"/>
      <c r="M41" s="7" t="s">
        <v>115</v>
      </c>
      <c r="N41" s="15">
        <v>4300</v>
      </c>
      <c r="O41" s="13">
        <v>850</v>
      </c>
      <c r="P41" s="13">
        <v>2000</v>
      </c>
      <c r="Q41" s="13">
        <v>64</v>
      </c>
      <c r="R41" s="13">
        <v>81</v>
      </c>
      <c r="S41" s="13">
        <v>51.5</v>
      </c>
      <c r="T41" s="13">
        <v>14.3</v>
      </c>
      <c r="U41" s="13">
        <v>508.5</v>
      </c>
      <c r="V41" s="13">
        <v>1518.2</v>
      </c>
      <c r="W41" s="13" t="s">
        <v>171</v>
      </c>
      <c r="X41" s="13" t="s">
        <v>171</v>
      </c>
      <c r="Y41" s="13" t="s">
        <v>172</v>
      </c>
      <c r="Z41" s="17">
        <v>3</v>
      </c>
      <c r="AA41" s="17">
        <v>2</v>
      </c>
      <c r="AB41" s="13" t="s">
        <v>84</v>
      </c>
      <c r="AC41" s="13">
        <v>-81.736284</v>
      </c>
      <c r="AD41" s="13">
        <v>28.422807</v>
      </c>
      <c r="AE41" s="7" t="s">
        <v>207</v>
      </c>
      <c r="AF41" s="7" t="s">
        <v>120</v>
      </c>
      <c r="AG41" s="7" t="s">
        <v>208</v>
      </c>
      <c r="AH41" s="7" t="s">
        <v>96</v>
      </c>
      <c r="AI41" s="21">
        <v>2018</v>
      </c>
      <c r="AJ41" s="23" t="s">
        <v>152</v>
      </c>
      <c r="AK41" s="7" t="s">
        <v>89</v>
      </c>
      <c r="AL41" s="9" t="s">
        <v>98</v>
      </c>
      <c r="AM41" s="9" t="s">
        <v>209</v>
      </c>
      <c r="AN41" s="22">
        <v>17.66</v>
      </c>
    </row>
    <row r="42" spans="1:40">
      <c r="A42" s="6" cm="1">
        <f t="array" ref="A42">IF(COUNTIF(B$2:B42,B42)&gt;1,INDEX(A$1:A41,MATCH(B42,B$1:B41,0)),MAX(A$1:A41)+1)</f>
        <v>9</v>
      </c>
      <c r="B42" s="9" t="s">
        <v>198</v>
      </c>
      <c r="C42" s="10" t="s">
        <v>199</v>
      </c>
      <c r="D42" s="11" t="s">
        <v>225</v>
      </c>
      <c r="E42" s="9" t="s">
        <v>201</v>
      </c>
      <c r="F42" s="9" t="s">
        <v>226</v>
      </c>
      <c r="G42" s="9" t="s">
        <v>203</v>
      </c>
      <c r="H42" s="9" t="s">
        <v>204</v>
      </c>
      <c r="I42" s="9" t="s">
        <v>112</v>
      </c>
      <c r="J42" s="9" t="s">
        <v>79</v>
      </c>
      <c r="K42" s="9" t="s">
        <v>80</v>
      </c>
      <c r="L42" s="9"/>
      <c r="M42" s="9" t="s">
        <v>115</v>
      </c>
      <c r="N42" s="12">
        <v>3200</v>
      </c>
      <c r="O42" s="14">
        <v>795</v>
      </c>
      <c r="P42" s="14">
        <v>1224</v>
      </c>
      <c r="Q42" s="14">
        <v>45</v>
      </c>
      <c r="R42" s="14">
        <v>65</v>
      </c>
      <c r="S42" s="14">
        <v>37.6</v>
      </c>
      <c r="T42" s="14">
        <v>14.4</v>
      </c>
      <c r="U42" s="14">
        <v>402.8</v>
      </c>
      <c r="V42" s="14">
        <v>1101.2</v>
      </c>
      <c r="W42" s="14" t="s">
        <v>115</v>
      </c>
      <c r="X42" s="14" t="s">
        <v>205</v>
      </c>
      <c r="Y42" s="14" t="s">
        <v>206</v>
      </c>
      <c r="Z42" s="18">
        <v>2</v>
      </c>
      <c r="AA42" s="18">
        <v>3</v>
      </c>
      <c r="AB42" s="14" t="s">
        <v>219</v>
      </c>
      <c r="AC42" s="14">
        <v>-81.736284</v>
      </c>
      <c r="AD42" s="14">
        <v>28.422807</v>
      </c>
      <c r="AE42" s="9" t="s">
        <v>207</v>
      </c>
      <c r="AF42" s="9" t="s">
        <v>120</v>
      </c>
      <c r="AG42" s="9" t="s">
        <v>208</v>
      </c>
      <c r="AH42" s="9" t="s">
        <v>96</v>
      </c>
      <c r="AI42" s="6">
        <v>2018</v>
      </c>
      <c r="AJ42" s="23" t="s">
        <v>152</v>
      </c>
      <c r="AK42" s="7" t="s">
        <v>89</v>
      </c>
      <c r="AL42" s="9" t="s">
        <v>98</v>
      </c>
      <c r="AM42" s="9" t="s">
        <v>209</v>
      </c>
      <c r="AN42" s="22">
        <v>0.16</v>
      </c>
    </row>
    <row r="43" spans="1:40">
      <c r="A43" s="6" cm="1">
        <f t="array" ref="A43">IF(COUNTIF(B$2:B43,B43)&gt;1,INDEX(A$1:A42,MATCH(B43,B$1:B42,0)),MAX(A$1:A42)+1)</f>
        <v>9</v>
      </c>
      <c r="B43" s="7" t="s">
        <v>198</v>
      </c>
      <c r="C43" s="3" t="s">
        <v>199</v>
      </c>
      <c r="D43" s="8" t="s">
        <v>227</v>
      </c>
      <c r="E43" s="7" t="s">
        <v>228</v>
      </c>
      <c r="F43" s="7" t="s">
        <v>229</v>
      </c>
      <c r="G43" s="7" t="s">
        <v>203</v>
      </c>
      <c r="H43" s="7" t="s">
        <v>204</v>
      </c>
      <c r="I43" s="7" t="s">
        <v>112</v>
      </c>
      <c r="J43" s="7" t="s">
        <v>79</v>
      </c>
      <c r="K43" s="7" t="s">
        <v>80</v>
      </c>
      <c r="L43" s="7"/>
      <c r="M43" s="7" t="s">
        <v>115</v>
      </c>
      <c r="N43" s="15">
        <v>3480</v>
      </c>
      <c r="O43" s="13">
        <v>280</v>
      </c>
      <c r="P43" s="13">
        <v>566</v>
      </c>
      <c r="Q43" s="13">
        <v>35</v>
      </c>
      <c r="R43" s="13">
        <v>50</v>
      </c>
      <c r="S43" s="14">
        <v>25.4</v>
      </c>
      <c r="T43" s="14">
        <v>8.6</v>
      </c>
      <c r="U43" s="14">
        <v>241.2</v>
      </c>
      <c r="V43" s="14">
        <v>429.7</v>
      </c>
      <c r="W43" s="14" t="s">
        <v>115</v>
      </c>
      <c r="X43" s="14" t="s">
        <v>205</v>
      </c>
      <c r="Y43" s="14" t="s">
        <v>206</v>
      </c>
      <c r="Z43" s="17">
        <v>2</v>
      </c>
      <c r="AA43" s="17">
        <v>3</v>
      </c>
      <c r="AB43" s="13" t="s">
        <v>118</v>
      </c>
      <c r="AC43" s="13">
        <v>-81.736284</v>
      </c>
      <c r="AD43" s="13">
        <v>28.422807</v>
      </c>
      <c r="AE43" s="7" t="s">
        <v>207</v>
      </c>
      <c r="AF43" s="7" t="s">
        <v>120</v>
      </c>
      <c r="AG43" s="7" t="s">
        <v>208</v>
      </c>
      <c r="AH43" s="7" t="s">
        <v>96</v>
      </c>
      <c r="AI43" s="21">
        <v>2018</v>
      </c>
      <c r="AJ43" s="23" t="s">
        <v>152</v>
      </c>
      <c r="AK43" s="7" t="s">
        <v>89</v>
      </c>
      <c r="AL43" s="9" t="s">
        <v>98</v>
      </c>
      <c r="AM43" s="9" t="s">
        <v>209</v>
      </c>
      <c r="AN43" s="22">
        <v>8.66</v>
      </c>
    </row>
    <row r="44" spans="1:40">
      <c r="A44" s="6" cm="1">
        <f t="array" ref="A44">IF(COUNTIF(B$2:B44,B44)&gt;1,INDEX(A$1:A43,MATCH(B44,B$1:B43,0)),MAX(A$1:A43)+1)</f>
        <v>10</v>
      </c>
      <c r="B44" s="9" t="s">
        <v>230</v>
      </c>
      <c r="C44" s="10" t="s">
        <v>231</v>
      </c>
      <c r="D44" s="11" t="s">
        <v>232</v>
      </c>
      <c r="E44" s="9" t="s">
        <v>233</v>
      </c>
      <c r="F44" s="9" t="s">
        <v>234</v>
      </c>
      <c r="G44" s="9" t="s">
        <v>235</v>
      </c>
      <c r="H44" s="9" t="s">
        <v>236</v>
      </c>
      <c r="I44" s="9" t="s">
        <v>78</v>
      </c>
      <c r="J44" s="9" t="s">
        <v>79</v>
      </c>
      <c r="K44" s="9" t="s">
        <v>80</v>
      </c>
      <c r="L44" s="9"/>
      <c r="M44" s="9" t="s">
        <v>81</v>
      </c>
      <c r="N44" s="12"/>
      <c r="O44" s="14"/>
      <c r="P44" s="14"/>
      <c r="Q44" s="14"/>
      <c r="R44" s="14"/>
      <c r="S44" s="14">
        <v>49.7</v>
      </c>
      <c r="T44" s="14">
        <v>13.9</v>
      </c>
      <c r="U44" s="14">
        <v>258.2</v>
      </c>
      <c r="V44" s="14">
        <v>292.6</v>
      </c>
      <c r="W44" s="14" t="s">
        <v>81</v>
      </c>
      <c r="X44" s="14" t="s">
        <v>81</v>
      </c>
      <c r="Y44" s="14" t="s">
        <v>172</v>
      </c>
      <c r="Z44" s="18">
        <v>3</v>
      </c>
      <c r="AA44" s="18">
        <v>1</v>
      </c>
      <c r="AB44" s="14" t="s">
        <v>84</v>
      </c>
      <c r="AC44" s="14">
        <v>78.15824</v>
      </c>
      <c r="AD44" s="14">
        <v>11.654963</v>
      </c>
      <c r="AE44" s="9" t="s">
        <v>237</v>
      </c>
      <c r="AF44" s="9" t="s">
        <v>238</v>
      </c>
      <c r="AG44" s="9" t="s">
        <v>239</v>
      </c>
      <c r="AH44" s="9" t="s">
        <v>87</v>
      </c>
      <c r="AI44" s="6">
        <v>2021</v>
      </c>
      <c r="AJ44" s="9" t="s">
        <v>240</v>
      </c>
      <c r="AK44" s="9" t="s">
        <v>241</v>
      </c>
      <c r="AL44" s="9" t="s">
        <v>90</v>
      </c>
      <c r="AM44" s="9" t="s">
        <v>242</v>
      </c>
      <c r="AN44" s="22">
        <v>2.64</v>
      </c>
    </row>
    <row r="45" spans="1:40">
      <c r="A45" s="6" cm="1">
        <f t="array" ref="A45">IF(COUNTIF(B$2:B45,B45)&gt;1,INDEX(A$1:A44,MATCH(B45,B$1:B44,0)),MAX(A$1:A44)+1)</f>
        <v>11</v>
      </c>
      <c r="B45" s="7" t="s">
        <v>243</v>
      </c>
      <c r="C45" s="3" t="s">
        <v>244</v>
      </c>
      <c r="D45" s="8" t="s">
        <v>180</v>
      </c>
      <c r="E45" s="7" t="s">
        <v>181</v>
      </c>
      <c r="F45" s="7" t="s">
        <v>182</v>
      </c>
      <c r="G45" s="7" t="s">
        <v>183</v>
      </c>
      <c r="H45" s="7" t="s">
        <v>184</v>
      </c>
      <c r="I45" s="7" t="s">
        <v>160</v>
      </c>
      <c r="J45" s="7" t="s">
        <v>79</v>
      </c>
      <c r="K45" s="7" t="s">
        <v>185</v>
      </c>
      <c r="L45" s="7" t="s">
        <v>186</v>
      </c>
      <c r="M45" s="7" t="s">
        <v>129</v>
      </c>
      <c r="N45" s="15">
        <v>300</v>
      </c>
      <c r="O45" s="13">
        <v>450</v>
      </c>
      <c r="P45" s="13">
        <v>1000</v>
      </c>
      <c r="Q45" s="13">
        <v>45</v>
      </c>
      <c r="R45" s="13">
        <v>50</v>
      </c>
      <c r="S45" s="13">
        <v>41.3</v>
      </c>
      <c r="T45" s="13">
        <v>11.9</v>
      </c>
      <c r="U45" s="13">
        <v>321.1</v>
      </c>
      <c r="V45" s="13">
        <v>611.9</v>
      </c>
      <c r="W45" s="13" t="s">
        <v>115</v>
      </c>
      <c r="X45" s="13" t="s">
        <v>116</v>
      </c>
      <c r="Y45" s="13" t="s">
        <v>117</v>
      </c>
      <c r="Z45" s="17">
        <v>3</v>
      </c>
      <c r="AA45" s="17">
        <v>3</v>
      </c>
      <c r="AB45" s="13" t="s">
        <v>136</v>
      </c>
      <c r="AC45" s="13">
        <v>17.729943</v>
      </c>
      <c r="AD45" s="13">
        <v>79.314497</v>
      </c>
      <c r="AE45" s="7" t="s">
        <v>245</v>
      </c>
      <c r="AF45" s="7"/>
      <c r="AG45" s="20" t="s">
        <v>246</v>
      </c>
      <c r="AH45" s="7" t="s">
        <v>247</v>
      </c>
      <c r="AI45" s="21">
        <v>1997</v>
      </c>
      <c r="AJ45" s="9" t="s">
        <v>91</v>
      </c>
      <c r="AK45" s="7" t="s">
        <v>89</v>
      </c>
      <c r="AL45" s="7" t="s">
        <v>248</v>
      </c>
      <c r="AM45" s="7" t="s">
        <v>249</v>
      </c>
      <c r="AN45" s="22">
        <v>10.3</v>
      </c>
    </row>
    <row r="46" spans="1:40">
      <c r="A46" s="6" cm="1">
        <f t="array" ref="A46">IF(COUNTIF(B$2:B46,B46)&gt;1,INDEX(A$1:A45,MATCH(B46,B$1:B45,0)),MAX(A$1:A45)+1)</f>
        <v>11</v>
      </c>
      <c r="B46" s="9" t="s">
        <v>243</v>
      </c>
      <c r="C46" s="10" t="s">
        <v>244</v>
      </c>
      <c r="D46" s="11" t="s">
        <v>180</v>
      </c>
      <c r="E46" s="9" t="s">
        <v>181</v>
      </c>
      <c r="F46" s="9" t="s">
        <v>182</v>
      </c>
      <c r="G46" s="9" t="s">
        <v>183</v>
      </c>
      <c r="H46" s="9" t="s">
        <v>184</v>
      </c>
      <c r="I46" s="9" t="s">
        <v>160</v>
      </c>
      <c r="J46" s="9" t="s">
        <v>79</v>
      </c>
      <c r="K46" s="9" t="s">
        <v>185</v>
      </c>
      <c r="L46" s="9" t="s">
        <v>186</v>
      </c>
      <c r="M46" s="7" t="s">
        <v>129</v>
      </c>
      <c r="N46" s="12">
        <v>300</v>
      </c>
      <c r="O46" s="14">
        <v>450</v>
      </c>
      <c r="P46" s="14">
        <v>1000</v>
      </c>
      <c r="Q46" s="14">
        <v>45</v>
      </c>
      <c r="R46" s="14">
        <v>50</v>
      </c>
      <c r="S46" s="14">
        <v>41.3</v>
      </c>
      <c r="T46" s="14">
        <v>11.9</v>
      </c>
      <c r="U46" s="14">
        <v>321.1</v>
      </c>
      <c r="V46" s="14">
        <v>611.9</v>
      </c>
      <c r="W46" s="14" t="s">
        <v>115</v>
      </c>
      <c r="X46" s="14" t="s">
        <v>116</v>
      </c>
      <c r="Y46" s="14" t="s">
        <v>117</v>
      </c>
      <c r="Z46" s="18">
        <v>3</v>
      </c>
      <c r="AA46" s="18">
        <v>3</v>
      </c>
      <c r="AB46" s="14" t="s">
        <v>136</v>
      </c>
      <c r="AC46" s="14">
        <v>17.729943</v>
      </c>
      <c r="AD46" s="14">
        <v>79.314497</v>
      </c>
      <c r="AE46" s="9" t="s">
        <v>245</v>
      </c>
      <c r="AF46" s="9"/>
      <c r="AG46" s="20" t="s">
        <v>246</v>
      </c>
      <c r="AH46" s="9" t="s">
        <v>247</v>
      </c>
      <c r="AI46" s="6">
        <v>1997</v>
      </c>
      <c r="AJ46" s="9" t="s">
        <v>91</v>
      </c>
      <c r="AK46" s="7" t="s">
        <v>89</v>
      </c>
      <c r="AL46" s="7" t="s">
        <v>248</v>
      </c>
      <c r="AM46" s="7" t="s">
        <v>249</v>
      </c>
      <c r="AN46" s="22">
        <v>7.1</v>
      </c>
    </row>
    <row r="47" spans="1:40">
      <c r="A47" s="6" cm="1">
        <f t="array" ref="A47">IF(COUNTIF(B$2:B47,B47)&gt;1,INDEX(A$1:A46,MATCH(B47,B$1:B46,0)),MAX(A$1:A46)+1)</f>
        <v>11</v>
      </c>
      <c r="B47" s="7" t="s">
        <v>243</v>
      </c>
      <c r="C47" s="3" t="s">
        <v>244</v>
      </c>
      <c r="D47" s="8" t="s">
        <v>180</v>
      </c>
      <c r="E47" s="7" t="s">
        <v>181</v>
      </c>
      <c r="F47" s="7" t="s">
        <v>182</v>
      </c>
      <c r="G47" s="7" t="s">
        <v>183</v>
      </c>
      <c r="H47" s="7" t="s">
        <v>184</v>
      </c>
      <c r="I47" s="7" t="s">
        <v>160</v>
      </c>
      <c r="J47" s="7" t="s">
        <v>79</v>
      </c>
      <c r="K47" s="7" t="s">
        <v>185</v>
      </c>
      <c r="L47" s="7" t="s">
        <v>186</v>
      </c>
      <c r="M47" s="7" t="s">
        <v>129</v>
      </c>
      <c r="N47" s="15">
        <v>300</v>
      </c>
      <c r="O47" s="13">
        <v>450</v>
      </c>
      <c r="P47" s="13">
        <v>1000</v>
      </c>
      <c r="Q47" s="13">
        <v>45</v>
      </c>
      <c r="R47" s="13">
        <v>50</v>
      </c>
      <c r="S47" s="13">
        <v>41.3</v>
      </c>
      <c r="T47" s="13">
        <v>11.9</v>
      </c>
      <c r="U47" s="13">
        <v>321.1</v>
      </c>
      <c r="V47" s="13">
        <v>611.9</v>
      </c>
      <c r="W47" s="13" t="s">
        <v>115</v>
      </c>
      <c r="X47" s="13" t="s">
        <v>116</v>
      </c>
      <c r="Y47" s="13" t="s">
        <v>117</v>
      </c>
      <c r="Z47" s="17">
        <v>3</v>
      </c>
      <c r="AA47" s="17">
        <v>3</v>
      </c>
      <c r="AB47" s="13" t="s">
        <v>136</v>
      </c>
      <c r="AC47" s="13">
        <v>17.729943</v>
      </c>
      <c r="AD47" s="13">
        <v>79.314497</v>
      </c>
      <c r="AE47" s="7" t="s">
        <v>245</v>
      </c>
      <c r="AF47" s="7"/>
      <c r="AG47" s="20" t="s">
        <v>246</v>
      </c>
      <c r="AH47" s="7" t="s">
        <v>247</v>
      </c>
      <c r="AI47" s="21">
        <v>1997</v>
      </c>
      <c r="AJ47" s="9" t="s">
        <v>91</v>
      </c>
      <c r="AK47" s="7" t="s">
        <v>89</v>
      </c>
      <c r="AL47" s="7" t="s">
        <v>248</v>
      </c>
      <c r="AM47" s="7" t="s">
        <v>249</v>
      </c>
      <c r="AN47" s="22">
        <v>13.1</v>
      </c>
    </row>
    <row r="48" spans="1:40">
      <c r="A48" s="6" cm="1">
        <f t="array" ref="A48">IF(COUNTIF(B$2:B48,B48)&gt;1,INDEX(A$1:A47,MATCH(B48,B$1:B47,0)),MAX(A$1:A47)+1)</f>
        <v>12</v>
      </c>
      <c r="B48" s="9" t="s">
        <v>250</v>
      </c>
      <c r="C48" s="10" t="s">
        <v>251</v>
      </c>
      <c r="D48" s="11" t="s">
        <v>252</v>
      </c>
      <c r="E48" s="9" t="s">
        <v>181</v>
      </c>
      <c r="F48" s="9" t="s">
        <v>182</v>
      </c>
      <c r="G48" s="9" t="s">
        <v>183</v>
      </c>
      <c r="H48" s="9" t="s">
        <v>184</v>
      </c>
      <c r="I48" s="9" t="s">
        <v>160</v>
      </c>
      <c r="J48" s="9" t="s">
        <v>79</v>
      </c>
      <c r="K48" s="9" t="s">
        <v>185</v>
      </c>
      <c r="L48" s="9" t="s">
        <v>186</v>
      </c>
      <c r="M48" s="7" t="s">
        <v>129</v>
      </c>
      <c r="N48" s="12">
        <v>300</v>
      </c>
      <c r="O48" s="14">
        <v>450</v>
      </c>
      <c r="P48" s="14">
        <v>1000</v>
      </c>
      <c r="Q48" s="14">
        <v>45</v>
      </c>
      <c r="R48" s="14">
        <v>50</v>
      </c>
      <c r="S48" s="14">
        <v>41.3</v>
      </c>
      <c r="T48" s="14">
        <v>11.9</v>
      </c>
      <c r="U48" s="14">
        <v>321.1</v>
      </c>
      <c r="V48" s="14">
        <v>611.9</v>
      </c>
      <c r="W48" s="14" t="s">
        <v>115</v>
      </c>
      <c r="X48" s="14" t="s">
        <v>116</v>
      </c>
      <c r="Y48" s="14" t="s">
        <v>117</v>
      </c>
      <c r="Z48" s="18">
        <v>3</v>
      </c>
      <c r="AA48" s="18">
        <v>3</v>
      </c>
      <c r="AB48" s="14" t="s">
        <v>136</v>
      </c>
      <c r="AC48" s="14">
        <v>18.994987</v>
      </c>
      <c r="AD48" s="14">
        <v>74.503788</v>
      </c>
      <c r="AE48" s="9" t="s">
        <v>253</v>
      </c>
      <c r="AF48" s="9" t="s">
        <v>254</v>
      </c>
      <c r="AG48" s="20" t="s">
        <v>246</v>
      </c>
      <c r="AH48" s="9" t="s">
        <v>247</v>
      </c>
      <c r="AI48" s="6">
        <v>2019</v>
      </c>
      <c r="AJ48" s="9" t="s">
        <v>152</v>
      </c>
      <c r="AK48" s="7" t="s">
        <v>89</v>
      </c>
      <c r="AL48" s="7" t="s">
        <v>248</v>
      </c>
      <c r="AM48" s="7" t="s">
        <v>249</v>
      </c>
      <c r="AN48" s="22">
        <v>1.6</v>
      </c>
    </row>
    <row r="49" spans="1:40">
      <c r="A49" s="6" cm="1">
        <f t="array" ref="A49">IF(COUNTIF(B$2:B49,B49)&gt;1,INDEX(A$1:A48,MATCH(B49,B$1:B48,0)),MAX(A$1:A48)+1)</f>
        <v>13</v>
      </c>
      <c r="B49" s="7" t="s">
        <v>255</v>
      </c>
      <c r="C49" s="3" t="s">
        <v>256</v>
      </c>
      <c r="D49" s="8" t="s">
        <v>257</v>
      </c>
      <c r="E49" s="7" t="s">
        <v>108</v>
      </c>
      <c r="F49" s="7" t="s">
        <v>258</v>
      </c>
      <c r="G49" s="7" t="s">
        <v>235</v>
      </c>
      <c r="H49" s="7" t="s">
        <v>259</v>
      </c>
      <c r="I49" s="7" t="s">
        <v>112</v>
      </c>
      <c r="J49" s="7" t="s">
        <v>79</v>
      </c>
      <c r="K49" s="7" t="s">
        <v>80</v>
      </c>
      <c r="L49" s="7" t="s">
        <v>260</v>
      </c>
      <c r="M49" s="7" t="s">
        <v>81</v>
      </c>
      <c r="N49" s="15">
        <v>2300</v>
      </c>
      <c r="O49" s="13">
        <v>80</v>
      </c>
      <c r="P49" s="13">
        <v>125</v>
      </c>
      <c r="Q49" s="13"/>
      <c r="R49" s="13">
        <v>25</v>
      </c>
      <c r="S49" s="13">
        <v>28.5</v>
      </c>
      <c r="T49" s="13">
        <v>5.3</v>
      </c>
      <c r="U49" s="13">
        <v>128.4</v>
      </c>
      <c r="V49" s="13">
        <v>102.7</v>
      </c>
      <c r="W49" s="13" t="s">
        <v>81</v>
      </c>
      <c r="X49" s="13" t="s">
        <v>81</v>
      </c>
      <c r="Y49" s="13" t="s">
        <v>83</v>
      </c>
      <c r="Z49" s="17">
        <v>2</v>
      </c>
      <c r="AA49" s="17">
        <v>1</v>
      </c>
      <c r="AB49" s="13" t="s">
        <v>261</v>
      </c>
      <c r="AC49" s="13">
        <v>23.044073</v>
      </c>
      <c r="AD49" s="13">
        <v>53.315959</v>
      </c>
      <c r="AE49" s="7" t="s">
        <v>262</v>
      </c>
      <c r="AF49" s="7"/>
      <c r="AG49" s="7" t="s">
        <v>263</v>
      </c>
      <c r="AH49" s="7" t="s">
        <v>247</v>
      </c>
      <c r="AI49" s="21">
        <v>2020</v>
      </c>
      <c r="AJ49" s="24" t="s">
        <v>152</v>
      </c>
      <c r="AK49" s="7" t="s">
        <v>89</v>
      </c>
      <c r="AL49" s="7" t="s">
        <v>98</v>
      </c>
      <c r="AM49" s="7" t="s">
        <v>264</v>
      </c>
      <c r="AN49" s="22">
        <v>40.11</v>
      </c>
    </row>
    <row r="50" spans="1:40">
      <c r="A50" s="6" cm="1">
        <f t="array" ref="A50">IF(COUNTIF(B$2:B50,B50)&gt;1,INDEX(A$1:A49,MATCH(B50,B$1:B49,0)),MAX(A$1:A49)+1)</f>
        <v>13</v>
      </c>
      <c r="B50" s="9" t="s">
        <v>255</v>
      </c>
      <c r="C50" s="10" t="s">
        <v>256</v>
      </c>
      <c r="D50" s="11" t="s">
        <v>265</v>
      </c>
      <c r="E50" s="9" t="s">
        <v>266</v>
      </c>
      <c r="F50" s="9" t="s">
        <v>267</v>
      </c>
      <c r="G50" s="9" t="s">
        <v>235</v>
      </c>
      <c r="H50" s="9" t="s">
        <v>259</v>
      </c>
      <c r="I50" s="9" t="s">
        <v>112</v>
      </c>
      <c r="J50" s="9" t="s">
        <v>79</v>
      </c>
      <c r="K50" s="9" t="s">
        <v>80</v>
      </c>
      <c r="L50" s="9" t="s">
        <v>268</v>
      </c>
      <c r="M50" s="9" t="s">
        <v>81</v>
      </c>
      <c r="N50" s="12">
        <v>2800</v>
      </c>
      <c r="O50" s="14"/>
      <c r="P50" s="14"/>
      <c r="Q50" s="14"/>
      <c r="R50" s="14"/>
      <c r="S50" s="14">
        <v>23.1</v>
      </c>
      <c r="T50" s="14">
        <v>5</v>
      </c>
      <c r="U50" s="14">
        <v>116</v>
      </c>
      <c r="V50" s="14">
        <v>67.7</v>
      </c>
      <c r="W50" s="14" t="s">
        <v>81</v>
      </c>
      <c r="X50" s="14" t="s">
        <v>222</v>
      </c>
      <c r="Y50" s="14" t="s">
        <v>83</v>
      </c>
      <c r="Z50" s="18">
        <v>1</v>
      </c>
      <c r="AA50" s="18">
        <v>3</v>
      </c>
      <c r="AB50" s="14" t="s">
        <v>261</v>
      </c>
      <c r="AC50" s="14">
        <v>23.044073</v>
      </c>
      <c r="AD50" s="14">
        <v>53.315959</v>
      </c>
      <c r="AE50" s="9" t="s">
        <v>262</v>
      </c>
      <c r="AF50" s="9"/>
      <c r="AG50" s="9" t="s">
        <v>263</v>
      </c>
      <c r="AH50" s="9" t="s">
        <v>247</v>
      </c>
      <c r="AI50" s="6">
        <v>2020</v>
      </c>
      <c r="AJ50" s="24" t="s">
        <v>152</v>
      </c>
      <c r="AK50" s="7" t="s">
        <v>89</v>
      </c>
      <c r="AL50" s="7" t="s">
        <v>98</v>
      </c>
      <c r="AM50" s="7" t="s">
        <v>264</v>
      </c>
      <c r="AN50" s="22">
        <v>21.94</v>
      </c>
    </row>
    <row r="51" spans="1:40">
      <c r="A51" s="6" cm="1">
        <f t="array" ref="A51">IF(COUNTIF(B$2:B51,B51)&gt;1,INDEX(A$1:A50,MATCH(B51,B$1:B50,0)),MAX(A$1:A50)+1)</f>
        <v>14</v>
      </c>
      <c r="B51" s="7" t="s">
        <v>269</v>
      </c>
      <c r="C51" s="3" t="s">
        <v>270</v>
      </c>
      <c r="D51" s="8" t="s">
        <v>271</v>
      </c>
      <c r="E51" s="7" t="s">
        <v>108</v>
      </c>
      <c r="F51" s="7" t="s">
        <v>272</v>
      </c>
      <c r="G51" s="7" t="s">
        <v>235</v>
      </c>
      <c r="H51" s="7" t="s">
        <v>273</v>
      </c>
      <c r="I51" s="7" t="s">
        <v>112</v>
      </c>
      <c r="J51" s="7" t="s">
        <v>79</v>
      </c>
      <c r="K51" s="7" t="s">
        <v>80</v>
      </c>
      <c r="L51" s="7" t="s">
        <v>274</v>
      </c>
      <c r="M51" s="7" t="s">
        <v>275</v>
      </c>
      <c r="N51" s="15"/>
      <c r="O51" s="13"/>
      <c r="P51" s="14">
        <v>64</v>
      </c>
      <c r="Q51" s="14"/>
      <c r="R51" s="14">
        <v>18</v>
      </c>
      <c r="S51" s="13">
        <v>22.1</v>
      </c>
      <c r="T51" s="13">
        <v>3.4</v>
      </c>
      <c r="U51" s="13">
        <v>88.9</v>
      </c>
      <c r="V51" s="13">
        <v>61.5</v>
      </c>
      <c r="W51" s="13" t="s">
        <v>115</v>
      </c>
      <c r="X51" s="13" t="s">
        <v>116</v>
      </c>
      <c r="Y51" s="13" t="s">
        <v>276</v>
      </c>
      <c r="Z51" s="17">
        <v>3</v>
      </c>
      <c r="AA51" s="17">
        <v>1</v>
      </c>
      <c r="AB51" s="13" t="s">
        <v>261</v>
      </c>
      <c r="AC51" s="13">
        <v>-3.321991</v>
      </c>
      <c r="AD51" s="13">
        <v>51.570474</v>
      </c>
      <c r="AE51" s="7" t="s">
        <v>277</v>
      </c>
      <c r="AF51" s="7"/>
      <c r="AG51" s="20" t="s">
        <v>278</v>
      </c>
      <c r="AH51" s="7" t="s">
        <v>247</v>
      </c>
      <c r="AI51" s="21">
        <v>2017</v>
      </c>
      <c r="AJ51" s="7" t="s">
        <v>191</v>
      </c>
      <c r="AK51" s="7" t="s">
        <v>279</v>
      </c>
      <c r="AL51" s="7" t="s">
        <v>90</v>
      </c>
      <c r="AM51" s="7" t="s">
        <v>280</v>
      </c>
      <c r="AN51" s="22">
        <v>1.3</v>
      </c>
    </row>
    <row r="52" spans="1:40">
      <c r="A52" s="6" cm="1">
        <f t="array" ref="A52">IF(COUNTIF(B$2:B52,B52)&gt;1,INDEX(A$1:A51,MATCH(B52,B$1:B51,0)),MAX(A$1:A51)+1)</f>
        <v>14</v>
      </c>
      <c r="B52" s="9" t="s">
        <v>269</v>
      </c>
      <c r="C52" s="10" t="s">
        <v>270</v>
      </c>
      <c r="D52" s="11" t="s">
        <v>271</v>
      </c>
      <c r="E52" s="9" t="s">
        <v>108</v>
      </c>
      <c r="F52" s="9" t="s">
        <v>272</v>
      </c>
      <c r="G52" s="9" t="s">
        <v>235</v>
      </c>
      <c r="H52" s="9" t="s">
        <v>273</v>
      </c>
      <c r="I52" s="9" t="s">
        <v>112</v>
      </c>
      <c r="J52" s="9" t="s">
        <v>79</v>
      </c>
      <c r="K52" s="9" t="s">
        <v>80</v>
      </c>
      <c r="L52" s="9" t="s">
        <v>274</v>
      </c>
      <c r="M52" s="9" t="s">
        <v>81</v>
      </c>
      <c r="N52" s="12"/>
      <c r="O52" s="14"/>
      <c r="P52" s="14">
        <v>64</v>
      </c>
      <c r="Q52" s="14"/>
      <c r="R52" s="14">
        <v>18</v>
      </c>
      <c r="S52" s="14">
        <v>22.1</v>
      </c>
      <c r="T52" s="14">
        <v>3.4</v>
      </c>
      <c r="U52" s="14">
        <v>88.9</v>
      </c>
      <c r="V52" s="14">
        <v>61.5</v>
      </c>
      <c r="W52" s="14" t="s">
        <v>115</v>
      </c>
      <c r="X52" s="14" t="s">
        <v>116</v>
      </c>
      <c r="Y52" s="14" t="s">
        <v>276</v>
      </c>
      <c r="Z52" s="18">
        <v>3</v>
      </c>
      <c r="AA52" s="18">
        <v>1</v>
      </c>
      <c r="AB52" s="14" t="s">
        <v>261</v>
      </c>
      <c r="AC52" s="14">
        <v>-3.321991</v>
      </c>
      <c r="AD52" s="14">
        <v>51.570474</v>
      </c>
      <c r="AE52" s="9" t="s">
        <v>277</v>
      </c>
      <c r="AF52" s="9"/>
      <c r="AG52" s="20" t="s">
        <v>278</v>
      </c>
      <c r="AH52" s="7" t="s">
        <v>247</v>
      </c>
      <c r="AI52" s="6">
        <v>2017</v>
      </c>
      <c r="AJ52" s="9" t="s">
        <v>175</v>
      </c>
      <c r="AK52" s="7" t="s">
        <v>279</v>
      </c>
      <c r="AL52" s="7" t="s">
        <v>90</v>
      </c>
      <c r="AM52" s="7" t="s">
        <v>280</v>
      </c>
      <c r="AN52" s="22">
        <v>1.7</v>
      </c>
    </row>
    <row r="53" spans="1:40">
      <c r="A53" s="6" cm="1">
        <f t="array" ref="A53">IF(COUNTIF(B$2:B53,B53)&gt;1,INDEX(A$1:A52,MATCH(B53,B$1:B52,0)),MAX(A$1:A52)+1)</f>
        <v>14</v>
      </c>
      <c r="B53" s="7" t="s">
        <v>269</v>
      </c>
      <c r="C53" s="3" t="s">
        <v>270</v>
      </c>
      <c r="D53" s="8" t="s">
        <v>271</v>
      </c>
      <c r="E53" s="7" t="s">
        <v>108</v>
      </c>
      <c r="F53" s="7" t="s">
        <v>272</v>
      </c>
      <c r="G53" s="7" t="s">
        <v>235</v>
      </c>
      <c r="H53" s="7" t="s">
        <v>273</v>
      </c>
      <c r="I53" s="7" t="s">
        <v>112</v>
      </c>
      <c r="J53" s="7" t="s">
        <v>79</v>
      </c>
      <c r="K53" s="7" t="s">
        <v>80</v>
      </c>
      <c r="L53" s="7" t="s">
        <v>274</v>
      </c>
      <c r="M53" s="7" t="s">
        <v>81</v>
      </c>
      <c r="N53" s="15"/>
      <c r="O53" s="13"/>
      <c r="P53" s="13">
        <v>64</v>
      </c>
      <c r="Q53" s="13"/>
      <c r="R53" s="13">
        <v>18</v>
      </c>
      <c r="S53" s="13">
        <v>22.1</v>
      </c>
      <c r="T53" s="13">
        <v>3.4</v>
      </c>
      <c r="U53" s="13">
        <v>88.9</v>
      </c>
      <c r="V53" s="13">
        <v>61.5</v>
      </c>
      <c r="W53" s="13" t="s">
        <v>115</v>
      </c>
      <c r="X53" s="13" t="s">
        <v>116</v>
      </c>
      <c r="Y53" s="13" t="s">
        <v>276</v>
      </c>
      <c r="Z53" s="17">
        <v>3</v>
      </c>
      <c r="AA53" s="17">
        <v>1</v>
      </c>
      <c r="AB53" s="13" t="s">
        <v>261</v>
      </c>
      <c r="AC53" s="13">
        <v>-3.321991</v>
      </c>
      <c r="AD53" s="13">
        <v>51.570474</v>
      </c>
      <c r="AE53" s="7" t="s">
        <v>277</v>
      </c>
      <c r="AF53" s="7"/>
      <c r="AG53" s="20" t="s">
        <v>278</v>
      </c>
      <c r="AH53" s="7" t="s">
        <v>247</v>
      </c>
      <c r="AI53" s="21">
        <v>2018</v>
      </c>
      <c r="AJ53" s="7" t="s">
        <v>191</v>
      </c>
      <c r="AK53" s="7" t="s">
        <v>279</v>
      </c>
      <c r="AL53" s="7" t="s">
        <v>90</v>
      </c>
      <c r="AM53" s="7" t="s">
        <v>280</v>
      </c>
      <c r="AN53" s="22">
        <v>0.5</v>
      </c>
    </row>
    <row r="54" spans="1:40">
      <c r="A54" s="6" cm="1">
        <f t="array" ref="A54">IF(COUNTIF(B$2:B54,B54)&gt;1,INDEX(A$1:A53,MATCH(B54,B$1:B53,0)),MAX(A$1:A53)+1)</f>
        <v>14</v>
      </c>
      <c r="B54" s="9" t="s">
        <v>269</v>
      </c>
      <c r="C54" s="10" t="s">
        <v>270</v>
      </c>
      <c r="D54" s="11" t="s">
        <v>271</v>
      </c>
      <c r="E54" s="9" t="s">
        <v>108</v>
      </c>
      <c r="F54" s="9" t="s">
        <v>272</v>
      </c>
      <c r="G54" s="9" t="s">
        <v>235</v>
      </c>
      <c r="H54" s="9" t="s">
        <v>273</v>
      </c>
      <c r="I54" s="9" t="s">
        <v>112</v>
      </c>
      <c r="J54" s="9" t="s">
        <v>79</v>
      </c>
      <c r="K54" s="9" t="s">
        <v>80</v>
      </c>
      <c r="L54" s="9" t="s">
        <v>274</v>
      </c>
      <c r="M54" s="9" t="s">
        <v>81</v>
      </c>
      <c r="N54" s="12"/>
      <c r="O54" s="14"/>
      <c r="P54" s="14">
        <v>64</v>
      </c>
      <c r="Q54" s="14"/>
      <c r="R54" s="14">
        <v>18</v>
      </c>
      <c r="S54" s="14">
        <v>22.1</v>
      </c>
      <c r="T54" s="14">
        <v>3.4</v>
      </c>
      <c r="U54" s="14">
        <v>88.9</v>
      </c>
      <c r="V54" s="14">
        <v>61.5</v>
      </c>
      <c r="W54" s="14" t="s">
        <v>115</v>
      </c>
      <c r="X54" s="14" t="s">
        <v>116</v>
      </c>
      <c r="Y54" s="14" t="s">
        <v>276</v>
      </c>
      <c r="Z54" s="18">
        <v>3</v>
      </c>
      <c r="AA54" s="18">
        <v>1</v>
      </c>
      <c r="AB54" s="14" t="s">
        <v>261</v>
      </c>
      <c r="AC54" s="14">
        <v>-3.321991</v>
      </c>
      <c r="AD54" s="14">
        <v>51.570474</v>
      </c>
      <c r="AE54" s="9" t="s">
        <v>277</v>
      </c>
      <c r="AF54" s="9"/>
      <c r="AG54" s="20" t="s">
        <v>278</v>
      </c>
      <c r="AH54" s="7" t="s">
        <v>247</v>
      </c>
      <c r="AI54" s="6">
        <v>2018</v>
      </c>
      <c r="AJ54" s="9" t="s">
        <v>175</v>
      </c>
      <c r="AK54" s="7" t="s">
        <v>279</v>
      </c>
      <c r="AL54" s="7" t="s">
        <v>90</v>
      </c>
      <c r="AM54" s="7" t="s">
        <v>280</v>
      </c>
      <c r="AN54" s="22">
        <v>0.9</v>
      </c>
    </row>
    <row r="55" spans="1:40">
      <c r="A55" s="6" cm="1">
        <f t="array" ref="A55">IF(COUNTIF(B$2:B55,B55)&gt;1,INDEX(A$1:A54,MATCH(B55,B$1:B54,0)),MAX(A$1:A54)+1)</f>
        <v>14</v>
      </c>
      <c r="B55" s="7" t="s">
        <v>269</v>
      </c>
      <c r="C55" s="3" t="s">
        <v>270</v>
      </c>
      <c r="D55" s="8" t="s">
        <v>271</v>
      </c>
      <c r="E55" s="7" t="s">
        <v>108</v>
      </c>
      <c r="F55" s="7" t="s">
        <v>272</v>
      </c>
      <c r="G55" s="7" t="s">
        <v>235</v>
      </c>
      <c r="H55" s="7" t="s">
        <v>273</v>
      </c>
      <c r="I55" s="7" t="s">
        <v>112</v>
      </c>
      <c r="J55" s="7" t="s">
        <v>79</v>
      </c>
      <c r="K55" s="7" t="s">
        <v>80</v>
      </c>
      <c r="L55" s="7" t="s">
        <v>274</v>
      </c>
      <c r="M55" s="7" t="s">
        <v>81</v>
      </c>
      <c r="N55" s="15"/>
      <c r="O55" s="13"/>
      <c r="P55" s="13">
        <v>64</v>
      </c>
      <c r="Q55" s="13"/>
      <c r="R55" s="13">
        <v>18</v>
      </c>
      <c r="S55" s="13">
        <v>22.1</v>
      </c>
      <c r="T55" s="13">
        <v>3.4</v>
      </c>
      <c r="U55" s="13">
        <v>88.9</v>
      </c>
      <c r="V55" s="13">
        <v>61.5</v>
      </c>
      <c r="W55" s="13" t="s">
        <v>115</v>
      </c>
      <c r="X55" s="13" t="s">
        <v>116</v>
      </c>
      <c r="Y55" s="13" t="s">
        <v>276</v>
      </c>
      <c r="Z55" s="17">
        <v>3</v>
      </c>
      <c r="AA55" s="17">
        <v>1</v>
      </c>
      <c r="AB55" s="13" t="s">
        <v>261</v>
      </c>
      <c r="AC55" s="13">
        <v>-3.321991</v>
      </c>
      <c r="AD55" s="13">
        <v>51.570474</v>
      </c>
      <c r="AE55" s="7" t="s">
        <v>277</v>
      </c>
      <c r="AF55" s="7"/>
      <c r="AG55" s="20" t="s">
        <v>278</v>
      </c>
      <c r="AH55" s="7" t="s">
        <v>247</v>
      </c>
      <c r="AI55" s="21">
        <v>2018</v>
      </c>
      <c r="AJ55" s="7" t="s">
        <v>191</v>
      </c>
      <c r="AK55" s="7" t="s">
        <v>279</v>
      </c>
      <c r="AL55" s="7" t="s">
        <v>90</v>
      </c>
      <c r="AM55" s="7" t="s">
        <v>280</v>
      </c>
      <c r="AN55" s="22">
        <v>0.6</v>
      </c>
    </row>
    <row r="56" spans="1:40">
      <c r="A56" s="6" cm="1">
        <f t="array" ref="A56">IF(COUNTIF(B$2:B56,B56)&gt;1,INDEX(A$1:A55,MATCH(B56,B$1:B55,0)),MAX(A$1:A55)+1)</f>
        <v>15</v>
      </c>
      <c r="B56" s="9" t="s">
        <v>281</v>
      </c>
      <c r="C56" s="10" t="s">
        <v>282</v>
      </c>
      <c r="D56" s="11" t="s">
        <v>283</v>
      </c>
      <c r="E56" s="9" t="s">
        <v>284</v>
      </c>
      <c r="F56" s="9" t="s">
        <v>285</v>
      </c>
      <c r="G56" s="9" t="s">
        <v>140</v>
      </c>
      <c r="H56" s="9" t="s">
        <v>194</v>
      </c>
      <c r="I56" s="9" t="s">
        <v>78</v>
      </c>
      <c r="J56" s="9" t="s">
        <v>286</v>
      </c>
      <c r="K56" s="9" t="s">
        <v>185</v>
      </c>
      <c r="L56" s="9" t="s">
        <v>287</v>
      </c>
      <c r="M56" s="9" t="s">
        <v>129</v>
      </c>
      <c r="N56" s="12">
        <v>100</v>
      </c>
      <c r="O56" s="14"/>
      <c r="P56" s="14"/>
      <c r="Q56" s="14"/>
      <c r="R56" s="14"/>
      <c r="S56" s="14">
        <v>24</v>
      </c>
      <c r="T56" s="14">
        <v>6.6</v>
      </c>
      <c r="U56" s="14">
        <v>121</v>
      </c>
      <c r="V56" s="14">
        <v>184</v>
      </c>
      <c r="W56" s="14" t="s">
        <v>115</v>
      </c>
      <c r="X56" s="14" t="s">
        <v>116</v>
      </c>
      <c r="Y56" s="14" t="s">
        <v>117</v>
      </c>
      <c r="Z56" s="18">
        <v>3</v>
      </c>
      <c r="AA56" s="18">
        <v>3</v>
      </c>
      <c r="AB56" s="14" t="s">
        <v>136</v>
      </c>
      <c r="AC56" s="14">
        <v>-124.013672</v>
      </c>
      <c r="AD56" s="14">
        <v>46.950262</v>
      </c>
      <c r="AE56" s="9" t="s">
        <v>288</v>
      </c>
      <c r="AF56" s="9"/>
      <c r="AG56" s="9" t="s">
        <v>121</v>
      </c>
      <c r="AH56" s="9" t="s">
        <v>96</v>
      </c>
      <c r="AI56" s="6">
        <v>2014</v>
      </c>
      <c r="AJ56" s="24" t="s">
        <v>152</v>
      </c>
      <c r="AK56" s="7" t="s">
        <v>97</v>
      </c>
      <c r="AL56" s="7" t="s">
        <v>98</v>
      </c>
      <c r="AM56" s="9"/>
      <c r="AN56" s="22">
        <v>5.43</v>
      </c>
    </row>
    <row r="57" spans="1:40">
      <c r="A57" s="6" cm="1">
        <f t="array" ref="A57">IF(COUNTIF(B$2:B57,B57)&gt;1,INDEX(A$1:A56,MATCH(B57,B$1:B56,0)),MAX(A$1:A56)+1)</f>
        <v>15</v>
      </c>
      <c r="B57" s="7" t="s">
        <v>281</v>
      </c>
      <c r="C57" s="3" t="s">
        <v>282</v>
      </c>
      <c r="D57" s="8" t="s">
        <v>283</v>
      </c>
      <c r="E57" s="7" t="s">
        <v>284</v>
      </c>
      <c r="F57" s="7" t="s">
        <v>285</v>
      </c>
      <c r="G57" s="7" t="s">
        <v>140</v>
      </c>
      <c r="H57" s="7" t="s">
        <v>194</v>
      </c>
      <c r="I57" s="7" t="s">
        <v>78</v>
      </c>
      <c r="J57" s="7" t="s">
        <v>286</v>
      </c>
      <c r="K57" s="7" t="s">
        <v>185</v>
      </c>
      <c r="L57" s="7" t="s">
        <v>287</v>
      </c>
      <c r="M57" s="7" t="s">
        <v>129</v>
      </c>
      <c r="N57" s="15">
        <v>100</v>
      </c>
      <c r="O57" s="13"/>
      <c r="P57" s="13"/>
      <c r="Q57" s="13"/>
      <c r="R57" s="13"/>
      <c r="S57" s="13">
        <v>24</v>
      </c>
      <c r="T57" s="13">
        <v>6.6</v>
      </c>
      <c r="U57" s="13">
        <v>121</v>
      </c>
      <c r="V57" s="13">
        <v>184</v>
      </c>
      <c r="W57" s="13" t="s">
        <v>115</v>
      </c>
      <c r="X57" s="13" t="s">
        <v>116</v>
      </c>
      <c r="Y57" s="13" t="s">
        <v>117</v>
      </c>
      <c r="Z57" s="17">
        <v>3</v>
      </c>
      <c r="AA57" s="17">
        <v>3</v>
      </c>
      <c r="AB57" s="13" t="s">
        <v>136</v>
      </c>
      <c r="AC57" s="13">
        <v>-124.013672</v>
      </c>
      <c r="AD57" s="13">
        <v>46.950262</v>
      </c>
      <c r="AE57" s="7" t="s">
        <v>288</v>
      </c>
      <c r="AF57" s="7"/>
      <c r="AG57" s="9" t="s">
        <v>121</v>
      </c>
      <c r="AH57" s="9" t="s">
        <v>96</v>
      </c>
      <c r="AI57" s="21">
        <v>2014</v>
      </c>
      <c r="AJ57" s="24" t="s">
        <v>152</v>
      </c>
      <c r="AK57" s="7" t="s">
        <v>97</v>
      </c>
      <c r="AL57" s="7" t="s">
        <v>98</v>
      </c>
      <c r="AM57" s="7"/>
      <c r="AN57" s="22">
        <v>6.57</v>
      </c>
    </row>
    <row r="58" spans="1:40">
      <c r="A58" s="6" cm="1">
        <f t="array" ref="A58">IF(COUNTIF(B$2:B58,B58)&gt;1,INDEX(A$1:A57,MATCH(B58,B$1:B57,0)),MAX(A$1:A57)+1)</f>
        <v>15</v>
      </c>
      <c r="B58" s="9" t="s">
        <v>281</v>
      </c>
      <c r="C58" s="10" t="s">
        <v>282</v>
      </c>
      <c r="D58" s="11" t="s">
        <v>283</v>
      </c>
      <c r="E58" s="9" t="s">
        <v>284</v>
      </c>
      <c r="F58" s="9" t="s">
        <v>285</v>
      </c>
      <c r="G58" s="9" t="s">
        <v>140</v>
      </c>
      <c r="H58" s="9" t="s">
        <v>194</v>
      </c>
      <c r="I58" s="9" t="s">
        <v>78</v>
      </c>
      <c r="J58" s="9" t="s">
        <v>286</v>
      </c>
      <c r="K58" s="9" t="s">
        <v>185</v>
      </c>
      <c r="L58" s="9" t="s">
        <v>287</v>
      </c>
      <c r="M58" s="9" t="s">
        <v>129</v>
      </c>
      <c r="N58" s="12">
        <v>100</v>
      </c>
      <c r="O58" s="14"/>
      <c r="P58" s="14"/>
      <c r="Q58" s="14"/>
      <c r="R58" s="14"/>
      <c r="S58" s="14">
        <v>24</v>
      </c>
      <c r="T58" s="14">
        <v>6.6</v>
      </c>
      <c r="U58" s="14">
        <v>121</v>
      </c>
      <c r="V58" s="14">
        <v>184</v>
      </c>
      <c r="W58" s="14" t="s">
        <v>115</v>
      </c>
      <c r="X58" s="14" t="s">
        <v>116</v>
      </c>
      <c r="Y58" s="14" t="s">
        <v>117</v>
      </c>
      <c r="Z58" s="18">
        <v>3</v>
      </c>
      <c r="AA58" s="18">
        <v>3</v>
      </c>
      <c r="AB58" s="14" t="s">
        <v>136</v>
      </c>
      <c r="AC58" s="14">
        <v>-124.013672</v>
      </c>
      <c r="AD58" s="14">
        <v>46.950262</v>
      </c>
      <c r="AE58" s="9" t="s">
        <v>288</v>
      </c>
      <c r="AF58" s="9"/>
      <c r="AG58" s="9" t="s">
        <v>121</v>
      </c>
      <c r="AH58" s="9" t="s">
        <v>96</v>
      </c>
      <c r="AI58" s="6">
        <v>2014</v>
      </c>
      <c r="AJ58" s="24" t="s">
        <v>152</v>
      </c>
      <c r="AK58" s="7" t="s">
        <v>97</v>
      </c>
      <c r="AL58" s="7" t="s">
        <v>98</v>
      </c>
      <c r="AM58" s="9"/>
      <c r="AN58" s="22">
        <v>5.38</v>
      </c>
    </row>
    <row r="59" spans="1:40">
      <c r="A59" s="6" cm="1">
        <f t="array" ref="A59">IF(COUNTIF(B$2:B59,B59)&gt;1,INDEX(A$1:A58,MATCH(B59,B$1:B58,0)),MAX(A$1:A58)+1)</f>
        <v>16</v>
      </c>
      <c r="B59" s="7" t="s">
        <v>289</v>
      </c>
      <c r="C59" s="3" t="s">
        <v>290</v>
      </c>
      <c r="D59" s="8" t="s">
        <v>291</v>
      </c>
      <c r="E59" s="7" t="s">
        <v>292</v>
      </c>
      <c r="F59" s="7" t="s">
        <v>293</v>
      </c>
      <c r="G59" s="7" t="s">
        <v>294</v>
      </c>
      <c r="H59" s="7" t="s">
        <v>295</v>
      </c>
      <c r="I59" s="7" t="s">
        <v>112</v>
      </c>
      <c r="J59" s="7" t="s">
        <v>79</v>
      </c>
      <c r="K59" s="7" t="s">
        <v>185</v>
      </c>
      <c r="L59" s="7" t="s">
        <v>296</v>
      </c>
      <c r="M59" s="7" t="s">
        <v>129</v>
      </c>
      <c r="N59" s="15"/>
      <c r="O59" s="13">
        <v>3.62</v>
      </c>
      <c r="P59" s="13">
        <v>4.99</v>
      </c>
      <c r="Q59" s="13"/>
      <c r="R59" s="13">
        <v>69.85</v>
      </c>
      <c r="S59" s="13">
        <v>59.7</v>
      </c>
      <c r="T59" s="13">
        <v>12.9</v>
      </c>
      <c r="U59" s="13">
        <v>94.5</v>
      </c>
      <c r="V59" s="13">
        <v>4847.7</v>
      </c>
      <c r="W59" s="13" t="s">
        <v>115</v>
      </c>
      <c r="X59" s="13" t="s">
        <v>116</v>
      </c>
      <c r="Y59" s="13" t="s">
        <v>117</v>
      </c>
      <c r="Z59" s="17">
        <v>3</v>
      </c>
      <c r="AA59" s="17">
        <v>2</v>
      </c>
      <c r="AB59" s="13" t="s">
        <v>136</v>
      </c>
      <c r="AC59" s="13">
        <v>-57.732154</v>
      </c>
      <c r="AD59" s="13">
        <v>-63.386154</v>
      </c>
      <c r="AE59" s="7" t="s">
        <v>297</v>
      </c>
      <c r="AF59" s="7"/>
      <c r="AG59" s="20" t="s">
        <v>298</v>
      </c>
      <c r="AH59" s="20" t="s">
        <v>299</v>
      </c>
      <c r="AI59" s="21">
        <v>2016</v>
      </c>
      <c r="AJ59" s="7" t="s">
        <v>240</v>
      </c>
      <c r="AK59" s="7" t="s">
        <v>89</v>
      </c>
      <c r="AL59" s="7" t="s">
        <v>90</v>
      </c>
      <c r="AM59" s="7" t="s">
        <v>300</v>
      </c>
      <c r="AN59" s="22">
        <v>0.15</v>
      </c>
    </row>
    <row r="60" spans="1:40">
      <c r="A60" s="6" cm="1">
        <f t="array" ref="A60">IF(COUNTIF(B$2:B60,B60)&gt;1,INDEX(A$1:A59,MATCH(B60,B$1:B59,0)),MAX(A$1:A59)+1)</f>
        <v>16</v>
      </c>
      <c r="B60" s="9" t="s">
        <v>289</v>
      </c>
      <c r="C60" s="10" t="s">
        <v>290</v>
      </c>
      <c r="D60" s="11" t="s">
        <v>301</v>
      </c>
      <c r="E60" s="9" t="s">
        <v>302</v>
      </c>
      <c r="F60" s="9" t="s">
        <v>303</v>
      </c>
      <c r="G60" s="9" t="s">
        <v>294</v>
      </c>
      <c r="H60" s="9" t="s">
        <v>295</v>
      </c>
      <c r="I60" s="9" t="s">
        <v>112</v>
      </c>
      <c r="J60" s="9" t="s">
        <v>79</v>
      </c>
      <c r="K60" s="9" t="s">
        <v>185</v>
      </c>
      <c r="L60" s="9" t="s">
        <v>304</v>
      </c>
      <c r="M60" s="9" t="s">
        <v>129</v>
      </c>
      <c r="N60" s="12"/>
      <c r="O60" s="14">
        <v>3000</v>
      </c>
      <c r="P60" s="14">
        <v>5000</v>
      </c>
      <c r="Q60" s="14"/>
      <c r="R60" s="14"/>
      <c r="S60" s="14">
        <v>61.8</v>
      </c>
      <c r="T60" s="14">
        <v>14.8</v>
      </c>
      <c r="U60" s="14">
        <v>100.5</v>
      </c>
      <c r="V60" s="14">
        <v>4146.1</v>
      </c>
      <c r="W60" s="14" t="s">
        <v>115</v>
      </c>
      <c r="X60" s="14" t="s">
        <v>116</v>
      </c>
      <c r="Y60" s="14" t="s">
        <v>117</v>
      </c>
      <c r="Z60" s="18">
        <v>3</v>
      </c>
      <c r="AA60" s="18">
        <v>2</v>
      </c>
      <c r="AB60" s="14" t="s">
        <v>136</v>
      </c>
      <c r="AC60" s="14">
        <v>-57.732154</v>
      </c>
      <c r="AD60" s="14">
        <v>-63.386154</v>
      </c>
      <c r="AE60" s="9" t="s">
        <v>297</v>
      </c>
      <c r="AF60" s="9"/>
      <c r="AG60" s="20" t="s">
        <v>298</v>
      </c>
      <c r="AH60" s="20" t="s">
        <v>299</v>
      </c>
      <c r="AI60" s="6">
        <v>2016</v>
      </c>
      <c r="AJ60" s="7" t="s">
        <v>240</v>
      </c>
      <c r="AK60" s="7" t="s">
        <v>89</v>
      </c>
      <c r="AL60" s="7" t="s">
        <v>90</v>
      </c>
      <c r="AM60" s="7" t="s">
        <v>300</v>
      </c>
      <c r="AN60" s="22">
        <v>0.31</v>
      </c>
    </row>
    <row r="61" spans="1:40">
      <c r="A61" s="6" cm="1">
        <f t="array" ref="A61">IF(COUNTIF(B$2:B61,B61)&gt;1,INDEX(A$1:A60,MATCH(B61,B$1:B60,0)),MAX(A$1:A60)+1)</f>
        <v>16</v>
      </c>
      <c r="B61" s="7" t="s">
        <v>289</v>
      </c>
      <c r="C61" s="3" t="s">
        <v>290</v>
      </c>
      <c r="D61" s="8" t="s">
        <v>305</v>
      </c>
      <c r="E61" s="7" t="s">
        <v>302</v>
      </c>
      <c r="F61" s="7" t="s">
        <v>306</v>
      </c>
      <c r="G61" s="7" t="s">
        <v>294</v>
      </c>
      <c r="H61" s="7" t="s">
        <v>295</v>
      </c>
      <c r="I61" s="7" t="s">
        <v>78</v>
      </c>
      <c r="J61" s="7" t="s">
        <v>79</v>
      </c>
      <c r="K61" s="7" t="s">
        <v>185</v>
      </c>
      <c r="L61" s="7" t="s">
        <v>307</v>
      </c>
      <c r="M61" s="7" t="s">
        <v>129</v>
      </c>
      <c r="N61" s="15"/>
      <c r="O61" s="13">
        <v>4500</v>
      </c>
      <c r="P61" s="13">
        <v>8500</v>
      </c>
      <c r="Q61" s="13">
        <v>70</v>
      </c>
      <c r="R61" s="13">
        <v>95</v>
      </c>
      <c r="S61" s="13">
        <v>64.8</v>
      </c>
      <c r="T61" s="13">
        <v>12.4</v>
      </c>
      <c r="U61" s="13">
        <v>126.1</v>
      </c>
      <c r="V61" s="13">
        <v>5933</v>
      </c>
      <c r="W61" s="13" t="s">
        <v>115</v>
      </c>
      <c r="X61" s="13" t="s">
        <v>116</v>
      </c>
      <c r="Y61" s="13" t="s">
        <v>117</v>
      </c>
      <c r="Z61" s="17">
        <v>3</v>
      </c>
      <c r="AA61" s="17">
        <v>2</v>
      </c>
      <c r="AB61" s="13" t="s">
        <v>136</v>
      </c>
      <c r="AC61" s="13">
        <v>-57.732154</v>
      </c>
      <c r="AD61" s="13">
        <v>-63.386154</v>
      </c>
      <c r="AE61" s="7" t="s">
        <v>297</v>
      </c>
      <c r="AF61" s="7"/>
      <c r="AG61" s="20" t="s">
        <v>298</v>
      </c>
      <c r="AH61" s="20" t="s">
        <v>299</v>
      </c>
      <c r="AI61" s="21">
        <v>2016</v>
      </c>
      <c r="AJ61" s="7" t="s">
        <v>240</v>
      </c>
      <c r="AK61" s="7" t="s">
        <v>89</v>
      </c>
      <c r="AL61" s="7" t="s">
        <v>90</v>
      </c>
      <c r="AM61" s="7" t="s">
        <v>300</v>
      </c>
      <c r="AN61" s="22">
        <v>0.29</v>
      </c>
    </row>
    <row r="62" spans="1:40">
      <c r="A62" s="6" cm="1">
        <f t="array" ref="A62">IF(COUNTIF(B$2:B62,B62)&gt;1,INDEX(A$1:A61,MATCH(B62,B$1:B61,0)),MAX(A$1:A61)+1)</f>
        <v>17</v>
      </c>
      <c r="B62" s="9" t="s">
        <v>308</v>
      </c>
      <c r="C62" s="10" t="s">
        <v>309</v>
      </c>
      <c r="D62" s="11" t="s">
        <v>310</v>
      </c>
      <c r="E62" s="9" t="s">
        <v>311</v>
      </c>
      <c r="F62" s="9" t="s">
        <v>312</v>
      </c>
      <c r="G62" s="9" t="s">
        <v>140</v>
      </c>
      <c r="H62" s="9" t="s">
        <v>194</v>
      </c>
      <c r="I62" s="9" t="s">
        <v>112</v>
      </c>
      <c r="J62" s="9" t="s">
        <v>79</v>
      </c>
      <c r="K62" s="9" t="s">
        <v>185</v>
      </c>
      <c r="L62" s="9" t="s">
        <v>313</v>
      </c>
      <c r="M62" s="9" t="s">
        <v>129</v>
      </c>
      <c r="N62" s="12"/>
      <c r="O62" s="14">
        <v>945</v>
      </c>
      <c r="P62" s="14">
        <v>1044</v>
      </c>
      <c r="Q62" s="14"/>
      <c r="R62" s="14"/>
      <c r="S62" s="14">
        <v>56.8</v>
      </c>
      <c r="T62" s="14">
        <v>8.1</v>
      </c>
      <c r="U62" s="14">
        <v>196.3</v>
      </c>
      <c r="V62" s="14">
        <v>991.9</v>
      </c>
      <c r="W62" s="14" t="s">
        <v>115</v>
      </c>
      <c r="X62" s="14" t="s">
        <v>116</v>
      </c>
      <c r="Y62" s="14" t="s">
        <v>117</v>
      </c>
      <c r="Z62" s="18">
        <v>3</v>
      </c>
      <c r="AA62" s="18">
        <v>3</v>
      </c>
      <c r="AB62" s="14" t="s">
        <v>136</v>
      </c>
      <c r="AC62" s="14">
        <v>-2.938343</v>
      </c>
      <c r="AD62" s="14">
        <v>44.735383</v>
      </c>
      <c r="AE62" s="9" t="s">
        <v>314</v>
      </c>
      <c r="AF62" s="9"/>
      <c r="AG62" s="20" t="s">
        <v>315</v>
      </c>
      <c r="AH62" s="9" t="s">
        <v>247</v>
      </c>
      <c r="AI62" s="6">
        <v>2014</v>
      </c>
      <c r="AJ62" s="24" t="s">
        <v>152</v>
      </c>
      <c r="AK62" s="7" t="s">
        <v>97</v>
      </c>
      <c r="AL62" s="7" t="s">
        <v>98</v>
      </c>
      <c r="AM62" s="7" t="s">
        <v>316</v>
      </c>
      <c r="AN62" s="22">
        <v>0.15</v>
      </c>
    </row>
    <row r="63" spans="1:40">
      <c r="A63" s="6" cm="1">
        <f t="array" ref="A63">IF(COUNTIF(B$2:B63,B63)&gt;1,INDEX(A$1:A62,MATCH(B63,B$1:B62,0)),MAX(A$1:A62)+1)</f>
        <v>17</v>
      </c>
      <c r="B63" s="7" t="s">
        <v>308</v>
      </c>
      <c r="C63" s="3" t="s">
        <v>309</v>
      </c>
      <c r="D63" s="8" t="s">
        <v>317</v>
      </c>
      <c r="E63" s="7" t="s">
        <v>108</v>
      </c>
      <c r="F63" s="7" t="s">
        <v>318</v>
      </c>
      <c r="G63" s="7" t="s">
        <v>134</v>
      </c>
      <c r="H63" s="7" t="s">
        <v>319</v>
      </c>
      <c r="I63" s="7" t="s">
        <v>112</v>
      </c>
      <c r="J63" s="7" t="s">
        <v>79</v>
      </c>
      <c r="K63" s="7" t="s">
        <v>185</v>
      </c>
      <c r="L63" s="7"/>
      <c r="M63" s="7" t="s">
        <v>129</v>
      </c>
      <c r="N63" s="15">
        <v>200</v>
      </c>
      <c r="O63" s="13">
        <v>2470</v>
      </c>
      <c r="P63" s="13">
        <v>3610</v>
      </c>
      <c r="Q63" s="13">
        <v>92.5</v>
      </c>
      <c r="R63" s="13">
        <v>110</v>
      </c>
      <c r="S63" s="13">
        <v>98.7</v>
      </c>
      <c r="T63" s="13">
        <v>24.8</v>
      </c>
      <c r="U63" s="13">
        <v>485.8</v>
      </c>
      <c r="V63" s="13">
        <v>2998.7</v>
      </c>
      <c r="W63" s="13" t="s">
        <v>115</v>
      </c>
      <c r="X63" s="13" t="s">
        <v>116</v>
      </c>
      <c r="Y63" s="13" t="s">
        <v>117</v>
      </c>
      <c r="Z63" s="17">
        <v>3</v>
      </c>
      <c r="AA63" s="17">
        <v>2</v>
      </c>
      <c r="AB63" s="13" t="s">
        <v>118</v>
      </c>
      <c r="AC63" s="13">
        <v>-2.938343</v>
      </c>
      <c r="AD63" s="13">
        <v>44.735383</v>
      </c>
      <c r="AE63" s="7" t="s">
        <v>314</v>
      </c>
      <c r="AF63" s="7"/>
      <c r="AG63" s="20" t="s">
        <v>315</v>
      </c>
      <c r="AH63" s="9" t="s">
        <v>247</v>
      </c>
      <c r="AI63" s="21">
        <v>2014</v>
      </c>
      <c r="AJ63" s="24" t="s">
        <v>152</v>
      </c>
      <c r="AK63" s="7" t="s">
        <v>97</v>
      </c>
      <c r="AL63" s="7" t="s">
        <v>98</v>
      </c>
      <c r="AM63" s="7" t="s">
        <v>316</v>
      </c>
      <c r="AN63" s="22">
        <v>0.3</v>
      </c>
    </row>
    <row r="64" spans="1:40">
      <c r="A64" s="6" cm="1">
        <f t="array" ref="A64">IF(COUNTIF(B$2:B64,B64)&gt;1,INDEX(A$1:A63,MATCH(B64,B$1:B63,0)),MAX(A$1:A63)+1)</f>
        <v>17</v>
      </c>
      <c r="B64" s="9" t="s">
        <v>308</v>
      </c>
      <c r="C64" s="10" t="s">
        <v>309</v>
      </c>
      <c r="D64" s="11" t="s">
        <v>320</v>
      </c>
      <c r="E64" s="9" t="s">
        <v>108</v>
      </c>
      <c r="F64" s="9" t="s">
        <v>321</v>
      </c>
      <c r="G64" s="9" t="s">
        <v>140</v>
      </c>
      <c r="H64" s="9" t="s">
        <v>194</v>
      </c>
      <c r="I64" s="9" t="s">
        <v>112</v>
      </c>
      <c r="J64" s="9" t="s">
        <v>322</v>
      </c>
      <c r="K64" s="9" t="s">
        <v>185</v>
      </c>
      <c r="L64" s="9" t="s">
        <v>323</v>
      </c>
      <c r="M64" s="9" t="s">
        <v>129</v>
      </c>
      <c r="N64" s="12"/>
      <c r="O64" s="14"/>
      <c r="P64" s="14">
        <v>500</v>
      </c>
      <c r="Q64" s="14"/>
      <c r="R64" s="14">
        <v>18</v>
      </c>
      <c r="S64" s="14">
        <v>51</v>
      </c>
      <c r="T64" s="14">
        <v>8.7</v>
      </c>
      <c r="U64" s="14">
        <v>163.6</v>
      </c>
      <c r="V64" s="14">
        <v>593</v>
      </c>
      <c r="W64" s="14" t="s">
        <v>115</v>
      </c>
      <c r="X64" s="14" t="s">
        <v>116</v>
      </c>
      <c r="Y64" s="14" t="s">
        <v>117</v>
      </c>
      <c r="Z64" s="18">
        <v>3</v>
      </c>
      <c r="AA64" s="18">
        <v>3</v>
      </c>
      <c r="AB64" s="14" t="s">
        <v>136</v>
      </c>
      <c r="AC64" s="14">
        <v>-2.938343</v>
      </c>
      <c r="AD64" s="14">
        <v>44.735383</v>
      </c>
      <c r="AE64" s="9" t="s">
        <v>314</v>
      </c>
      <c r="AF64" s="9"/>
      <c r="AG64" s="20" t="s">
        <v>315</v>
      </c>
      <c r="AH64" s="9" t="s">
        <v>247</v>
      </c>
      <c r="AI64" s="6">
        <v>2014</v>
      </c>
      <c r="AJ64" s="24" t="s">
        <v>152</v>
      </c>
      <c r="AK64" s="7" t="s">
        <v>97</v>
      </c>
      <c r="AL64" s="7" t="s">
        <v>98</v>
      </c>
      <c r="AM64" s="7" t="s">
        <v>316</v>
      </c>
      <c r="AN64" s="22">
        <v>0.27</v>
      </c>
    </row>
    <row r="65" spans="1:40">
      <c r="A65" s="6" cm="1">
        <f t="array" ref="A65">IF(COUNTIF(B$2:B65,B65)&gt;1,INDEX(A$1:A64,MATCH(B65,B$1:B64,0)),MAX(A$1:A64)+1)</f>
        <v>17</v>
      </c>
      <c r="B65" s="7" t="s">
        <v>308</v>
      </c>
      <c r="C65" s="3" t="s">
        <v>309</v>
      </c>
      <c r="D65" s="8" t="s">
        <v>324</v>
      </c>
      <c r="E65" s="7" t="s">
        <v>108</v>
      </c>
      <c r="F65" s="7" t="s">
        <v>325</v>
      </c>
      <c r="G65" s="7" t="s">
        <v>140</v>
      </c>
      <c r="H65" s="7" t="s">
        <v>111</v>
      </c>
      <c r="I65" s="7" t="s">
        <v>112</v>
      </c>
      <c r="J65" s="7" t="s">
        <v>322</v>
      </c>
      <c r="K65" s="7" t="s">
        <v>113</v>
      </c>
      <c r="L65" s="7" t="s">
        <v>326</v>
      </c>
      <c r="M65" s="7" t="s">
        <v>115</v>
      </c>
      <c r="N65" s="15"/>
      <c r="O65" s="13"/>
      <c r="P65" s="13">
        <v>317</v>
      </c>
      <c r="Q65" s="13"/>
      <c r="R65" s="13"/>
      <c r="S65" s="13">
        <v>44.5</v>
      </c>
      <c r="T65" s="13">
        <v>5.3</v>
      </c>
      <c r="U65" s="13">
        <v>301</v>
      </c>
      <c r="V65" s="13">
        <v>416</v>
      </c>
      <c r="W65" s="13" t="s">
        <v>115</v>
      </c>
      <c r="X65" s="13" t="s">
        <v>116</v>
      </c>
      <c r="Y65" s="13" t="s">
        <v>117</v>
      </c>
      <c r="Z65" s="17">
        <v>3</v>
      </c>
      <c r="AA65" s="17">
        <v>2</v>
      </c>
      <c r="AB65" s="13" t="s">
        <v>118</v>
      </c>
      <c r="AC65" s="13">
        <v>-2.938343</v>
      </c>
      <c r="AD65" s="13">
        <v>44.735383</v>
      </c>
      <c r="AE65" s="7" t="s">
        <v>314</v>
      </c>
      <c r="AF65" s="7"/>
      <c r="AG65" s="20" t="s">
        <v>315</v>
      </c>
      <c r="AH65" s="9" t="s">
        <v>247</v>
      </c>
      <c r="AI65" s="21">
        <v>2014</v>
      </c>
      <c r="AJ65" s="24" t="s">
        <v>152</v>
      </c>
      <c r="AK65" s="7" t="s">
        <v>97</v>
      </c>
      <c r="AL65" s="7" t="s">
        <v>98</v>
      </c>
      <c r="AM65" s="7" t="s">
        <v>316</v>
      </c>
      <c r="AN65" s="22">
        <v>0.78</v>
      </c>
    </row>
    <row r="66" spans="1:40">
      <c r="A66" s="6" cm="1">
        <f t="array" ref="A66">IF(COUNTIF(B$2:B66,B66)&gt;1,INDEX(A$1:A65,MATCH(B66,B$1:B65,0)),MAX(A$1:A65)+1)</f>
        <v>17</v>
      </c>
      <c r="B66" s="9" t="s">
        <v>308</v>
      </c>
      <c r="C66" s="10" t="s">
        <v>309</v>
      </c>
      <c r="D66" s="11" t="s">
        <v>327</v>
      </c>
      <c r="E66" s="9" t="s">
        <v>311</v>
      </c>
      <c r="F66" s="9" t="s">
        <v>328</v>
      </c>
      <c r="G66" s="9" t="s">
        <v>140</v>
      </c>
      <c r="H66" s="9" t="s">
        <v>111</v>
      </c>
      <c r="I66" s="9" t="s">
        <v>112</v>
      </c>
      <c r="J66" s="9" t="s">
        <v>79</v>
      </c>
      <c r="K66" s="9" t="s">
        <v>113</v>
      </c>
      <c r="L66" s="9" t="s">
        <v>329</v>
      </c>
      <c r="M66" s="9" t="s">
        <v>129</v>
      </c>
      <c r="N66" s="12">
        <v>2000</v>
      </c>
      <c r="O66" s="14">
        <v>800</v>
      </c>
      <c r="P66" s="14">
        <v>1250</v>
      </c>
      <c r="Q66" s="14">
        <v>56</v>
      </c>
      <c r="R66" s="14">
        <v>66</v>
      </c>
      <c r="S66" s="14">
        <v>74</v>
      </c>
      <c r="T66" s="14">
        <v>8.9</v>
      </c>
      <c r="U66" s="14">
        <v>430</v>
      </c>
      <c r="V66" s="14">
        <v>1091</v>
      </c>
      <c r="W66" s="14" t="s">
        <v>115</v>
      </c>
      <c r="X66" s="14" t="s">
        <v>116</v>
      </c>
      <c r="Y66" s="14" t="s">
        <v>330</v>
      </c>
      <c r="Z66" s="18">
        <v>3</v>
      </c>
      <c r="AA66" s="18">
        <v>2</v>
      </c>
      <c r="AB66" s="14" t="s">
        <v>261</v>
      </c>
      <c r="AC66" s="14">
        <v>-2.938343</v>
      </c>
      <c r="AD66" s="14">
        <v>44.735383</v>
      </c>
      <c r="AE66" s="9" t="s">
        <v>314</v>
      </c>
      <c r="AF66" s="9"/>
      <c r="AG66" s="20" t="s">
        <v>315</v>
      </c>
      <c r="AH66" s="9" t="s">
        <v>247</v>
      </c>
      <c r="AI66" s="6">
        <v>2014</v>
      </c>
      <c r="AJ66" s="24" t="s">
        <v>152</v>
      </c>
      <c r="AK66" s="7" t="s">
        <v>97</v>
      </c>
      <c r="AL66" s="7" t="s">
        <v>98</v>
      </c>
      <c r="AM66" s="7" t="s">
        <v>316</v>
      </c>
      <c r="AN66" s="22">
        <v>0.14</v>
      </c>
    </row>
    <row r="67" spans="1:40">
      <c r="A67" s="6" cm="1">
        <f t="array" ref="A67">IF(COUNTIF(B$2:B67,B67)&gt;1,INDEX(A$1:A66,MATCH(B67,B$1:B66,0)),MAX(A$1:A66)+1)</f>
        <v>17</v>
      </c>
      <c r="B67" s="7" t="s">
        <v>308</v>
      </c>
      <c r="C67" s="3" t="s">
        <v>309</v>
      </c>
      <c r="D67" s="8" t="s">
        <v>331</v>
      </c>
      <c r="E67" s="7" t="s">
        <v>124</v>
      </c>
      <c r="F67" s="7" t="s">
        <v>332</v>
      </c>
      <c r="G67" s="7" t="s">
        <v>140</v>
      </c>
      <c r="H67" s="7" t="s">
        <v>111</v>
      </c>
      <c r="I67" s="7" t="s">
        <v>112</v>
      </c>
      <c r="J67" s="7" t="s">
        <v>79</v>
      </c>
      <c r="K67" s="7" t="s">
        <v>113</v>
      </c>
      <c r="L67" s="7" t="s">
        <v>333</v>
      </c>
      <c r="M67" s="7" t="s">
        <v>115</v>
      </c>
      <c r="N67" s="15"/>
      <c r="O67" s="13">
        <v>195</v>
      </c>
      <c r="P67" s="13">
        <v>325</v>
      </c>
      <c r="Q67" s="13"/>
      <c r="R67" s="13"/>
      <c r="S67" s="13">
        <v>43.4</v>
      </c>
      <c r="T67" s="13">
        <v>4</v>
      </c>
      <c r="U67" s="13">
        <v>291.2</v>
      </c>
      <c r="V67" s="13">
        <v>284</v>
      </c>
      <c r="W67" s="13" t="s">
        <v>115</v>
      </c>
      <c r="X67" s="13" t="s">
        <v>116</v>
      </c>
      <c r="Y67" s="13" t="s">
        <v>149</v>
      </c>
      <c r="Z67" s="17">
        <v>3</v>
      </c>
      <c r="AA67" s="17">
        <v>2</v>
      </c>
      <c r="AB67" s="13" t="s">
        <v>261</v>
      </c>
      <c r="AC67" s="13">
        <v>-2.938343</v>
      </c>
      <c r="AD67" s="13">
        <v>44.735383</v>
      </c>
      <c r="AE67" s="7" t="s">
        <v>314</v>
      </c>
      <c r="AF67" s="7"/>
      <c r="AG67" s="20" t="s">
        <v>315</v>
      </c>
      <c r="AH67" s="9" t="s">
        <v>247</v>
      </c>
      <c r="AI67" s="21">
        <v>2014</v>
      </c>
      <c r="AJ67" s="24" t="s">
        <v>152</v>
      </c>
      <c r="AK67" s="7" t="s">
        <v>97</v>
      </c>
      <c r="AL67" s="7" t="s">
        <v>98</v>
      </c>
      <c r="AM67" s="7" t="s">
        <v>316</v>
      </c>
      <c r="AN67" s="22">
        <v>0.33</v>
      </c>
    </row>
    <row r="68" spans="1:40">
      <c r="A68" s="6" cm="1">
        <f t="array" ref="A68">IF(COUNTIF(B$2:B68,B68)&gt;1,INDEX(A$1:A67,MATCH(B68,B$1:B67,0)),MAX(A$1:A67)+1)</f>
        <v>17</v>
      </c>
      <c r="B68" s="9" t="s">
        <v>308</v>
      </c>
      <c r="C68" s="10" t="s">
        <v>309</v>
      </c>
      <c r="D68" s="11" t="s">
        <v>180</v>
      </c>
      <c r="E68" s="9" t="s">
        <v>181</v>
      </c>
      <c r="F68" s="9" t="s">
        <v>182</v>
      </c>
      <c r="G68" s="9" t="s">
        <v>183</v>
      </c>
      <c r="H68" s="9" t="s">
        <v>184</v>
      </c>
      <c r="I68" s="9" t="s">
        <v>160</v>
      </c>
      <c r="J68" s="9" t="s">
        <v>79</v>
      </c>
      <c r="K68" s="9" t="s">
        <v>185</v>
      </c>
      <c r="L68" s="9" t="s">
        <v>186</v>
      </c>
      <c r="M68" s="9" t="s">
        <v>129</v>
      </c>
      <c r="N68" s="12">
        <v>300</v>
      </c>
      <c r="O68" s="14">
        <v>450</v>
      </c>
      <c r="P68" s="14">
        <v>1000</v>
      </c>
      <c r="Q68" s="14">
        <v>45</v>
      </c>
      <c r="R68" s="14">
        <v>50</v>
      </c>
      <c r="S68" s="14">
        <v>41.3</v>
      </c>
      <c r="T68" s="14">
        <v>11.9</v>
      </c>
      <c r="U68" s="14">
        <v>321.1</v>
      </c>
      <c r="V68" s="14">
        <v>611.9</v>
      </c>
      <c r="W68" s="14" t="s">
        <v>115</v>
      </c>
      <c r="X68" s="14" t="s">
        <v>116</v>
      </c>
      <c r="Y68" s="14" t="s">
        <v>117</v>
      </c>
      <c r="Z68" s="18">
        <v>3</v>
      </c>
      <c r="AA68" s="18">
        <v>3</v>
      </c>
      <c r="AB68" s="14" t="s">
        <v>136</v>
      </c>
      <c r="AC68" s="14">
        <v>-2.938343</v>
      </c>
      <c r="AD68" s="14">
        <v>44.735383</v>
      </c>
      <c r="AE68" s="9" t="s">
        <v>314</v>
      </c>
      <c r="AF68" s="9"/>
      <c r="AG68" s="20" t="s">
        <v>315</v>
      </c>
      <c r="AH68" s="9" t="s">
        <v>247</v>
      </c>
      <c r="AI68" s="6">
        <v>2014</v>
      </c>
      <c r="AJ68" s="24" t="s">
        <v>152</v>
      </c>
      <c r="AK68" s="7" t="s">
        <v>97</v>
      </c>
      <c r="AL68" s="7" t="s">
        <v>98</v>
      </c>
      <c r="AM68" s="7" t="s">
        <v>316</v>
      </c>
      <c r="AN68" s="22">
        <v>32.5</v>
      </c>
    </row>
    <row r="69" spans="1:40">
      <c r="A69" s="6" cm="1">
        <f t="array" ref="A69">IF(COUNTIF(B$2:B69,B69)&gt;1,INDEX(A$1:A68,MATCH(B69,B$1:B68,0)),MAX(A$1:A68)+1)</f>
        <v>17</v>
      </c>
      <c r="B69" s="7" t="s">
        <v>308</v>
      </c>
      <c r="C69" s="3" t="s">
        <v>309</v>
      </c>
      <c r="D69" s="8" t="s">
        <v>334</v>
      </c>
      <c r="E69" s="7" t="s">
        <v>335</v>
      </c>
      <c r="F69" s="7" t="s">
        <v>336</v>
      </c>
      <c r="G69" s="7" t="s">
        <v>183</v>
      </c>
      <c r="H69" s="7" t="s">
        <v>184</v>
      </c>
      <c r="I69" s="7" t="s">
        <v>112</v>
      </c>
      <c r="J69" s="7" t="s">
        <v>337</v>
      </c>
      <c r="K69" s="7" t="s">
        <v>185</v>
      </c>
      <c r="L69" s="7" t="s">
        <v>338</v>
      </c>
      <c r="M69" s="7" t="s">
        <v>129</v>
      </c>
      <c r="N69" s="15"/>
      <c r="O69" s="13"/>
      <c r="P69" s="13"/>
      <c r="Q69" s="13"/>
      <c r="R69" s="13"/>
      <c r="S69" s="13">
        <v>45.1</v>
      </c>
      <c r="T69" s="13">
        <v>7.7</v>
      </c>
      <c r="U69" s="13">
        <v>242.2</v>
      </c>
      <c r="V69" s="13">
        <v>497</v>
      </c>
      <c r="W69" s="13" t="s">
        <v>115</v>
      </c>
      <c r="X69" s="13" t="s">
        <v>116</v>
      </c>
      <c r="Y69" s="13" t="s">
        <v>117</v>
      </c>
      <c r="Z69" s="17">
        <v>3</v>
      </c>
      <c r="AA69" s="17">
        <v>2</v>
      </c>
      <c r="AB69" s="13" t="s">
        <v>261</v>
      </c>
      <c r="AC69" s="13">
        <v>-2.938343</v>
      </c>
      <c r="AD69" s="13">
        <v>44.735383</v>
      </c>
      <c r="AE69" s="7" t="s">
        <v>314</v>
      </c>
      <c r="AF69" s="7"/>
      <c r="AG69" s="20" t="s">
        <v>315</v>
      </c>
      <c r="AH69" s="9" t="s">
        <v>247</v>
      </c>
      <c r="AI69" s="21">
        <v>2014</v>
      </c>
      <c r="AJ69" s="24" t="s">
        <v>152</v>
      </c>
      <c r="AK69" s="7" t="s">
        <v>97</v>
      </c>
      <c r="AL69" s="7" t="s">
        <v>98</v>
      </c>
      <c r="AM69" s="7" t="s">
        <v>316</v>
      </c>
      <c r="AN69" s="22">
        <v>5</v>
      </c>
    </row>
    <row r="70" spans="1:40">
      <c r="A70" s="6" cm="1">
        <f t="array" ref="A70">IF(COUNTIF(B$2:B70,B70)&gt;1,INDEX(A$1:A69,MATCH(B70,B$1:B69,0)),MAX(A$1:A69)+1)</f>
        <v>17</v>
      </c>
      <c r="B70" s="9" t="s">
        <v>308</v>
      </c>
      <c r="C70" s="10" t="s">
        <v>309</v>
      </c>
      <c r="D70" s="11" t="s">
        <v>339</v>
      </c>
      <c r="E70" s="9" t="s">
        <v>340</v>
      </c>
      <c r="F70" s="9" t="s">
        <v>341</v>
      </c>
      <c r="G70" s="9" t="s">
        <v>183</v>
      </c>
      <c r="H70" s="9" t="s">
        <v>184</v>
      </c>
      <c r="I70" s="9" t="s">
        <v>112</v>
      </c>
      <c r="J70" s="9" t="s">
        <v>79</v>
      </c>
      <c r="K70" s="9" t="s">
        <v>185</v>
      </c>
      <c r="L70" s="9" t="s">
        <v>342</v>
      </c>
      <c r="M70" s="9" t="s">
        <v>129</v>
      </c>
      <c r="N70" s="12">
        <v>600</v>
      </c>
      <c r="O70" s="14">
        <v>715</v>
      </c>
      <c r="P70" s="14">
        <v>950</v>
      </c>
      <c r="Q70" s="14"/>
      <c r="R70" s="14"/>
      <c r="S70" s="14">
        <v>54.7</v>
      </c>
      <c r="T70" s="14">
        <v>8.3</v>
      </c>
      <c r="U70" s="14">
        <v>317.8</v>
      </c>
      <c r="V70" s="14">
        <v>849</v>
      </c>
      <c r="W70" s="14" t="s">
        <v>115</v>
      </c>
      <c r="X70" s="14" t="s">
        <v>116</v>
      </c>
      <c r="Y70" s="14" t="s">
        <v>117</v>
      </c>
      <c r="Z70" s="18">
        <v>3</v>
      </c>
      <c r="AA70" s="18">
        <v>3</v>
      </c>
      <c r="AB70" s="14" t="s">
        <v>118</v>
      </c>
      <c r="AC70" s="14">
        <v>-2.938343</v>
      </c>
      <c r="AD70" s="14">
        <v>44.735383</v>
      </c>
      <c r="AE70" s="9" t="s">
        <v>314</v>
      </c>
      <c r="AF70" s="9"/>
      <c r="AG70" s="20" t="s">
        <v>315</v>
      </c>
      <c r="AH70" s="9" t="s">
        <v>247</v>
      </c>
      <c r="AI70" s="6">
        <v>2014</v>
      </c>
      <c r="AJ70" s="24" t="s">
        <v>152</v>
      </c>
      <c r="AK70" s="7" t="s">
        <v>97</v>
      </c>
      <c r="AL70" s="7" t="s">
        <v>98</v>
      </c>
      <c r="AM70" s="7" t="s">
        <v>316</v>
      </c>
      <c r="AN70" s="22">
        <v>8</v>
      </c>
    </row>
    <row r="71" spans="1:40">
      <c r="A71" s="6" cm="1">
        <f t="array" ref="A71">IF(COUNTIF(B$2:B71,B71)&gt;1,INDEX(A$1:A70,MATCH(B71,B$1:B70,0)),MAX(A$1:A70)+1)</f>
        <v>18</v>
      </c>
      <c r="B71" s="7" t="s">
        <v>343</v>
      </c>
      <c r="C71" s="3" t="s">
        <v>344</v>
      </c>
      <c r="D71" s="8" t="s">
        <v>345</v>
      </c>
      <c r="E71" s="7" t="s">
        <v>346</v>
      </c>
      <c r="F71" s="7" t="s">
        <v>347</v>
      </c>
      <c r="G71" s="7" t="s">
        <v>235</v>
      </c>
      <c r="H71" s="7" t="s">
        <v>348</v>
      </c>
      <c r="I71" s="7" t="s">
        <v>112</v>
      </c>
      <c r="J71" s="7" t="s">
        <v>79</v>
      </c>
      <c r="K71" s="7" t="s">
        <v>80</v>
      </c>
      <c r="L71" s="7"/>
      <c r="M71" s="7" t="s">
        <v>275</v>
      </c>
      <c r="N71" s="15">
        <v>50</v>
      </c>
      <c r="O71" s="13"/>
      <c r="P71" s="13">
        <v>19</v>
      </c>
      <c r="Q71" s="13"/>
      <c r="R71" s="13">
        <v>14</v>
      </c>
      <c r="S71" s="13">
        <v>10.8</v>
      </c>
      <c r="T71" s="13">
        <v>3.8</v>
      </c>
      <c r="U71" s="13">
        <v>115.9</v>
      </c>
      <c r="V71" s="13">
        <v>21.2</v>
      </c>
      <c r="W71" s="13" t="s">
        <v>115</v>
      </c>
      <c r="X71" s="13" t="s">
        <v>222</v>
      </c>
      <c r="Y71" s="13" t="s">
        <v>149</v>
      </c>
      <c r="Z71" s="17">
        <v>3</v>
      </c>
      <c r="AA71" s="17">
        <v>3</v>
      </c>
      <c r="AB71" s="13" t="s">
        <v>118</v>
      </c>
      <c r="AC71" s="13">
        <v>-87.9748138888888</v>
      </c>
      <c r="AD71" s="13">
        <v>43.2890333333333</v>
      </c>
      <c r="AE71" s="7" t="s">
        <v>349</v>
      </c>
      <c r="AF71" s="7"/>
      <c r="AG71" s="7" t="s">
        <v>350</v>
      </c>
      <c r="AH71" s="7" t="s">
        <v>96</v>
      </c>
      <c r="AI71" s="21">
        <v>2018</v>
      </c>
      <c r="AJ71" s="7" t="s">
        <v>152</v>
      </c>
      <c r="AK71" s="7" t="s">
        <v>351</v>
      </c>
      <c r="AL71" s="7" t="s">
        <v>90</v>
      </c>
      <c r="AM71" s="7" t="s">
        <v>352</v>
      </c>
      <c r="AN71" s="22">
        <v>5.2</v>
      </c>
    </row>
    <row r="72" spans="1:40">
      <c r="A72" s="6" cm="1">
        <f t="array" ref="A72">IF(COUNTIF(B$2:B72,B72)&gt;1,INDEX(A$1:A71,MATCH(B72,B$1:B71,0)),MAX(A$1:A71)+1)</f>
        <v>18</v>
      </c>
      <c r="B72" s="9" t="s">
        <v>343</v>
      </c>
      <c r="C72" s="10" t="s">
        <v>344</v>
      </c>
      <c r="D72" s="11" t="s">
        <v>345</v>
      </c>
      <c r="E72" s="9" t="s">
        <v>346</v>
      </c>
      <c r="F72" s="9" t="s">
        <v>347</v>
      </c>
      <c r="G72" s="9" t="s">
        <v>235</v>
      </c>
      <c r="H72" s="9" t="s">
        <v>348</v>
      </c>
      <c r="I72" s="9" t="s">
        <v>112</v>
      </c>
      <c r="J72" s="9" t="s">
        <v>79</v>
      </c>
      <c r="K72" s="9" t="s">
        <v>80</v>
      </c>
      <c r="L72" s="9"/>
      <c r="M72" s="7" t="s">
        <v>275</v>
      </c>
      <c r="N72" s="12">
        <v>50</v>
      </c>
      <c r="O72" s="14"/>
      <c r="P72" s="14">
        <v>19</v>
      </c>
      <c r="Q72" s="14"/>
      <c r="R72" s="14">
        <v>14</v>
      </c>
      <c r="S72" s="14">
        <v>10.8</v>
      </c>
      <c r="T72" s="14">
        <v>3.8</v>
      </c>
      <c r="U72" s="14">
        <v>115.9</v>
      </c>
      <c r="V72" s="14">
        <v>21.2</v>
      </c>
      <c r="W72" s="14" t="s">
        <v>115</v>
      </c>
      <c r="X72" s="14" t="s">
        <v>222</v>
      </c>
      <c r="Y72" s="14" t="s">
        <v>149</v>
      </c>
      <c r="Z72" s="18">
        <v>3</v>
      </c>
      <c r="AA72" s="18">
        <v>3</v>
      </c>
      <c r="AB72" s="14" t="s">
        <v>118</v>
      </c>
      <c r="AC72" s="14">
        <v>-87.9025027777777</v>
      </c>
      <c r="AD72" s="14">
        <v>43.0945888888888</v>
      </c>
      <c r="AE72" s="9" t="s">
        <v>353</v>
      </c>
      <c r="AF72" s="9"/>
      <c r="AG72" s="9" t="s">
        <v>350</v>
      </c>
      <c r="AH72" s="9" t="s">
        <v>96</v>
      </c>
      <c r="AI72" s="6">
        <v>2018</v>
      </c>
      <c r="AJ72" s="9" t="s">
        <v>152</v>
      </c>
      <c r="AK72" s="7" t="s">
        <v>351</v>
      </c>
      <c r="AL72" s="7" t="s">
        <v>90</v>
      </c>
      <c r="AM72" s="7" t="s">
        <v>352</v>
      </c>
      <c r="AN72" s="22">
        <v>10.4</v>
      </c>
    </row>
    <row r="73" spans="1:40">
      <c r="A73" s="6" cm="1">
        <f t="array" ref="A73">IF(COUNTIF(B$2:B73,B73)&gt;1,INDEX(A$1:A72,MATCH(B73,B$1:B72,0)),MAX(A$1:A72)+1)</f>
        <v>18</v>
      </c>
      <c r="B73" s="7" t="s">
        <v>343</v>
      </c>
      <c r="C73" s="3" t="s">
        <v>344</v>
      </c>
      <c r="D73" s="8" t="s">
        <v>345</v>
      </c>
      <c r="E73" s="7" t="s">
        <v>346</v>
      </c>
      <c r="F73" s="7" t="s">
        <v>347</v>
      </c>
      <c r="G73" s="7" t="s">
        <v>235</v>
      </c>
      <c r="H73" s="7" t="s">
        <v>348</v>
      </c>
      <c r="I73" s="7" t="s">
        <v>112</v>
      </c>
      <c r="J73" s="7" t="s">
        <v>79</v>
      </c>
      <c r="K73" s="7" t="s">
        <v>80</v>
      </c>
      <c r="L73" s="7"/>
      <c r="M73" s="7" t="s">
        <v>275</v>
      </c>
      <c r="N73" s="15">
        <v>50</v>
      </c>
      <c r="O73" s="13"/>
      <c r="P73" s="13">
        <v>19</v>
      </c>
      <c r="Q73" s="13"/>
      <c r="R73" s="13">
        <v>14</v>
      </c>
      <c r="S73" s="13">
        <v>10.8</v>
      </c>
      <c r="T73" s="13">
        <v>3.8</v>
      </c>
      <c r="U73" s="13">
        <v>115.9</v>
      </c>
      <c r="V73" s="13">
        <v>21.2</v>
      </c>
      <c r="W73" s="13" t="s">
        <v>115</v>
      </c>
      <c r="X73" s="13" t="s">
        <v>222</v>
      </c>
      <c r="Y73" s="13" t="s">
        <v>149</v>
      </c>
      <c r="Z73" s="17">
        <v>3</v>
      </c>
      <c r="AA73" s="17">
        <v>3</v>
      </c>
      <c r="AB73" s="13" t="s">
        <v>118</v>
      </c>
      <c r="AC73" s="13">
        <v>-87.9878583333333</v>
      </c>
      <c r="AD73" s="13">
        <v>43.04315</v>
      </c>
      <c r="AE73" s="7" t="s">
        <v>354</v>
      </c>
      <c r="AF73" s="7"/>
      <c r="AG73" s="7" t="s">
        <v>350</v>
      </c>
      <c r="AH73" s="7" t="s">
        <v>96</v>
      </c>
      <c r="AI73" s="21">
        <v>2018</v>
      </c>
      <c r="AJ73" s="7" t="s">
        <v>152</v>
      </c>
      <c r="AK73" s="7" t="s">
        <v>351</v>
      </c>
      <c r="AL73" s="7" t="s">
        <v>90</v>
      </c>
      <c r="AM73" s="7" t="s">
        <v>352</v>
      </c>
      <c r="AN73" s="22">
        <v>5.6</v>
      </c>
    </row>
    <row r="74" spans="1:40">
      <c r="A74" s="6" cm="1">
        <f t="array" ref="A74">IF(COUNTIF(B$2:B74,B74)&gt;1,INDEX(A$1:A73,MATCH(B74,B$1:B73,0)),MAX(A$1:A73)+1)</f>
        <v>18</v>
      </c>
      <c r="B74" s="9" t="s">
        <v>343</v>
      </c>
      <c r="C74" s="10" t="s">
        <v>344</v>
      </c>
      <c r="D74" s="11" t="s">
        <v>345</v>
      </c>
      <c r="E74" s="9" t="s">
        <v>346</v>
      </c>
      <c r="F74" s="9" t="s">
        <v>347</v>
      </c>
      <c r="G74" s="9" t="s">
        <v>235</v>
      </c>
      <c r="H74" s="9" t="s">
        <v>348</v>
      </c>
      <c r="I74" s="9" t="s">
        <v>112</v>
      </c>
      <c r="J74" s="9" t="s">
        <v>79</v>
      </c>
      <c r="K74" s="9" t="s">
        <v>80</v>
      </c>
      <c r="L74" s="9"/>
      <c r="M74" s="7" t="s">
        <v>275</v>
      </c>
      <c r="N74" s="12">
        <v>50</v>
      </c>
      <c r="O74" s="14"/>
      <c r="P74" s="14">
        <v>19</v>
      </c>
      <c r="Q74" s="14"/>
      <c r="R74" s="14">
        <v>14</v>
      </c>
      <c r="S74" s="14">
        <v>10.8</v>
      </c>
      <c r="T74" s="14">
        <v>3.8</v>
      </c>
      <c r="U74" s="14">
        <v>115.9</v>
      </c>
      <c r="V74" s="14">
        <v>21.2</v>
      </c>
      <c r="W74" s="14" t="s">
        <v>115</v>
      </c>
      <c r="X74" s="14" t="s">
        <v>222</v>
      </c>
      <c r="Y74" s="14" t="s">
        <v>149</v>
      </c>
      <c r="Z74" s="18">
        <v>3</v>
      </c>
      <c r="AA74" s="18">
        <v>3</v>
      </c>
      <c r="AB74" s="14" t="s">
        <v>118</v>
      </c>
      <c r="AC74" s="14">
        <v>-87.9124916666666</v>
      </c>
      <c r="AD74" s="14">
        <v>43.0013888888888</v>
      </c>
      <c r="AE74" s="9" t="s">
        <v>355</v>
      </c>
      <c r="AF74" s="9"/>
      <c r="AG74" s="9" t="s">
        <v>350</v>
      </c>
      <c r="AH74" s="9" t="s">
        <v>96</v>
      </c>
      <c r="AI74" s="6">
        <v>2018</v>
      </c>
      <c r="AJ74" s="9" t="s">
        <v>152</v>
      </c>
      <c r="AK74" s="7" t="s">
        <v>351</v>
      </c>
      <c r="AL74" s="7" t="s">
        <v>90</v>
      </c>
      <c r="AM74" s="7" t="s">
        <v>352</v>
      </c>
      <c r="AN74" s="22">
        <v>6</v>
      </c>
    </row>
    <row r="75" spans="1:40">
      <c r="A75" s="6" cm="1">
        <f t="array" ref="A75">IF(COUNTIF(B$2:B75,B75)&gt;1,INDEX(A$1:A74,MATCH(B75,B$1:B74,0)),MAX(A$1:A74)+1)</f>
        <v>18</v>
      </c>
      <c r="B75" s="7" t="s">
        <v>343</v>
      </c>
      <c r="C75" s="3" t="s">
        <v>344</v>
      </c>
      <c r="D75" s="8" t="s">
        <v>345</v>
      </c>
      <c r="E75" s="7" t="s">
        <v>346</v>
      </c>
      <c r="F75" s="7" t="s">
        <v>347</v>
      </c>
      <c r="G75" s="7" t="s">
        <v>235</v>
      </c>
      <c r="H75" s="7" t="s">
        <v>348</v>
      </c>
      <c r="I75" s="7" t="s">
        <v>112</v>
      </c>
      <c r="J75" s="7" t="s">
        <v>79</v>
      </c>
      <c r="K75" s="7" t="s">
        <v>80</v>
      </c>
      <c r="L75" s="7"/>
      <c r="M75" s="7" t="s">
        <v>275</v>
      </c>
      <c r="N75" s="15">
        <v>50</v>
      </c>
      <c r="O75" s="13"/>
      <c r="P75" s="13">
        <v>19</v>
      </c>
      <c r="Q75" s="13"/>
      <c r="R75" s="13">
        <v>14</v>
      </c>
      <c r="S75" s="13">
        <v>10.8</v>
      </c>
      <c r="T75" s="13">
        <v>3.8</v>
      </c>
      <c r="U75" s="13">
        <v>115.9</v>
      </c>
      <c r="V75" s="13">
        <v>21.2</v>
      </c>
      <c r="W75" s="13" t="s">
        <v>115</v>
      </c>
      <c r="X75" s="13" t="s">
        <v>222</v>
      </c>
      <c r="Y75" s="13" t="s">
        <v>149</v>
      </c>
      <c r="Z75" s="17">
        <v>3</v>
      </c>
      <c r="AA75" s="17">
        <v>3</v>
      </c>
      <c r="AB75" s="13" t="s">
        <v>118</v>
      </c>
      <c r="AC75" s="13">
        <v>-87.9289388888889</v>
      </c>
      <c r="AD75" s="13">
        <v>43.1089222222222</v>
      </c>
      <c r="AE75" s="7" t="s">
        <v>356</v>
      </c>
      <c r="AF75" s="7"/>
      <c r="AG75" s="7" t="s">
        <v>350</v>
      </c>
      <c r="AH75" s="7" t="s">
        <v>96</v>
      </c>
      <c r="AI75" s="21">
        <v>2018</v>
      </c>
      <c r="AJ75" s="7" t="s">
        <v>152</v>
      </c>
      <c r="AK75" s="7" t="s">
        <v>351</v>
      </c>
      <c r="AL75" s="7" t="s">
        <v>90</v>
      </c>
      <c r="AM75" s="7" t="s">
        <v>352</v>
      </c>
      <c r="AN75" s="22">
        <v>5.3</v>
      </c>
    </row>
    <row r="76" spans="1:40">
      <c r="A76" s="6" cm="1">
        <f t="array" ref="A76">IF(COUNTIF(B$2:B76,B76)&gt;1,INDEX(A$1:A75,MATCH(B76,B$1:B75,0)),MAX(A$1:A75)+1)</f>
        <v>18</v>
      </c>
      <c r="B76" s="9" t="s">
        <v>343</v>
      </c>
      <c r="C76" s="10" t="s">
        <v>344</v>
      </c>
      <c r="D76" s="11" t="s">
        <v>345</v>
      </c>
      <c r="E76" s="9" t="s">
        <v>346</v>
      </c>
      <c r="F76" s="9" t="s">
        <v>347</v>
      </c>
      <c r="G76" s="9" t="s">
        <v>235</v>
      </c>
      <c r="H76" s="9" t="s">
        <v>348</v>
      </c>
      <c r="I76" s="9" t="s">
        <v>112</v>
      </c>
      <c r="J76" s="9" t="s">
        <v>79</v>
      </c>
      <c r="K76" s="9" t="s">
        <v>80</v>
      </c>
      <c r="L76" s="9"/>
      <c r="M76" s="7" t="s">
        <v>275</v>
      </c>
      <c r="N76" s="12">
        <v>50</v>
      </c>
      <c r="O76" s="14"/>
      <c r="P76" s="14">
        <v>19</v>
      </c>
      <c r="Q76" s="14"/>
      <c r="R76" s="14">
        <v>14</v>
      </c>
      <c r="S76" s="14">
        <v>10.8</v>
      </c>
      <c r="T76" s="14">
        <v>3.8</v>
      </c>
      <c r="U76" s="14">
        <v>115.9</v>
      </c>
      <c r="V76" s="14">
        <v>21.2</v>
      </c>
      <c r="W76" s="14" t="s">
        <v>115</v>
      </c>
      <c r="X76" s="14" t="s">
        <v>222</v>
      </c>
      <c r="Y76" s="14" t="s">
        <v>149</v>
      </c>
      <c r="Z76" s="18">
        <v>3</v>
      </c>
      <c r="AA76" s="18">
        <v>3</v>
      </c>
      <c r="AB76" s="14" t="s">
        <v>118</v>
      </c>
      <c r="AC76" s="14">
        <v>-87.8944194444444</v>
      </c>
      <c r="AD76" s="14">
        <v>43.0316805555555</v>
      </c>
      <c r="AE76" s="9" t="s">
        <v>357</v>
      </c>
      <c r="AF76" s="9"/>
      <c r="AG76" s="9" t="s">
        <v>350</v>
      </c>
      <c r="AH76" s="9" t="s">
        <v>96</v>
      </c>
      <c r="AI76" s="6">
        <v>2018</v>
      </c>
      <c r="AJ76" s="9" t="s">
        <v>152</v>
      </c>
      <c r="AK76" s="7" t="s">
        <v>351</v>
      </c>
      <c r="AL76" s="7" t="s">
        <v>90</v>
      </c>
      <c r="AM76" s="7" t="s">
        <v>352</v>
      </c>
      <c r="AN76" s="22">
        <v>7.3</v>
      </c>
    </row>
    <row r="77" spans="1:40">
      <c r="A77" s="6" cm="1">
        <f t="array" ref="A77">IF(COUNTIF(B$2:B77,B77)&gt;1,INDEX(A$1:A76,MATCH(B77,B$1:B76,0)),MAX(A$1:A76)+1)</f>
        <v>18</v>
      </c>
      <c r="B77" s="7" t="s">
        <v>343</v>
      </c>
      <c r="C77" s="3" t="s">
        <v>344</v>
      </c>
      <c r="D77" s="8" t="s">
        <v>345</v>
      </c>
      <c r="E77" s="7" t="s">
        <v>346</v>
      </c>
      <c r="F77" s="7" t="s">
        <v>347</v>
      </c>
      <c r="G77" s="7" t="s">
        <v>235</v>
      </c>
      <c r="H77" s="7" t="s">
        <v>348</v>
      </c>
      <c r="I77" s="7" t="s">
        <v>112</v>
      </c>
      <c r="J77" s="7" t="s">
        <v>79</v>
      </c>
      <c r="K77" s="7" t="s">
        <v>80</v>
      </c>
      <c r="L77" s="7"/>
      <c r="M77" s="7" t="s">
        <v>275</v>
      </c>
      <c r="N77" s="15">
        <v>50</v>
      </c>
      <c r="O77" s="13"/>
      <c r="P77" s="13">
        <v>19</v>
      </c>
      <c r="Q77" s="13"/>
      <c r="R77" s="13">
        <v>14</v>
      </c>
      <c r="S77" s="13">
        <v>10.8</v>
      </c>
      <c r="T77" s="13">
        <v>3.8</v>
      </c>
      <c r="U77" s="13">
        <v>115.9</v>
      </c>
      <c r="V77" s="13">
        <v>21.2</v>
      </c>
      <c r="W77" s="13" t="s">
        <v>115</v>
      </c>
      <c r="X77" s="13" t="s">
        <v>222</v>
      </c>
      <c r="Y77" s="13" t="s">
        <v>149</v>
      </c>
      <c r="Z77" s="17">
        <v>3</v>
      </c>
      <c r="AA77" s="17">
        <v>3</v>
      </c>
      <c r="AB77" s="13" t="s">
        <v>118</v>
      </c>
      <c r="AC77" s="13">
        <v>-87.8935666666666</v>
      </c>
      <c r="AD77" s="13">
        <v>43.0617666666666</v>
      </c>
      <c r="AE77" s="7" t="s">
        <v>358</v>
      </c>
      <c r="AF77" s="7"/>
      <c r="AG77" s="7" t="s">
        <v>350</v>
      </c>
      <c r="AH77" s="7" t="s">
        <v>96</v>
      </c>
      <c r="AI77" s="21">
        <v>2018</v>
      </c>
      <c r="AJ77" s="7" t="s">
        <v>152</v>
      </c>
      <c r="AK77" s="7" t="s">
        <v>351</v>
      </c>
      <c r="AL77" s="7" t="s">
        <v>90</v>
      </c>
      <c r="AM77" s="7" t="s">
        <v>352</v>
      </c>
      <c r="AN77" s="22">
        <v>2.3</v>
      </c>
    </row>
    <row r="78" spans="1:40">
      <c r="A78" s="6" cm="1">
        <f t="array" ref="A78">IF(COUNTIF(B$2:B78,B78)&gt;1,INDEX(A$1:A77,MATCH(B78,B$1:B77,0)),MAX(A$1:A77)+1)</f>
        <v>18</v>
      </c>
      <c r="B78" s="9" t="s">
        <v>343</v>
      </c>
      <c r="C78" s="10" t="s">
        <v>344</v>
      </c>
      <c r="D78" s="11" t="s">
        <v>345</v>
      </c>
      <c r="E78" s="9" t="s">
        <v>346</v>
      </c>
      <c r="F78" s="9" t="s">
        <v>347</v>
      </c>
      <c r="G78" s="9" t="s">
        <v>235</v>
      </c>
      <c r="H78" s="9" t="s">
        <v>348</v>
      </c>
      <c r="I78" s="9" t="s">
        <v>112</v>
      </c>
      <c r="J78" s="9" t="s">
        <v>79</v>
      </c>
      <c r="K78" s="9" t="s">
        <v>80</v>
      </c>
      <c r="L78" s="9"/>
      <c r="M78" s="7" t="s">
        <v>275</v>
      </c>
      <c r="N78" s="12">
        <v>50</v>
      </c>
      <c r="O78" s="14"/>
      <c r="P78" s="14">
        <v>19</v>
      </c>
      <c r="Q78" s="14"/>
      <c r="R78" s="14">
        <v>14</v>
      </c>
      <c r="S78" s="14">
        <v>10.8</v>
      </c>
      <c r="T78" s="14">
        <v>3.8</v>
      </c>
      <c r="U78" s="14">
        <v>115.9</v>
      </c>
      <c r="V78" s="14">
        <v>21.2</v>
      </c>
      <c r="W78" s="14" t="s">
        <v>115</v>
      </c>
      <c r="X78" s="14" t="s">
        <v>222</v>
      </c>
      <c r="Y78" s="14" t="s">
        <v>149</v>
      </c>
      <c r="Z78" s="18">
        <v>3</v>
      </c>
      <c r="AA78" s="18">
        <v>3</v>
      </c>
      <c r="AB78" s="14" t="s">
        <v>118</v>
      </c>
      <c r="AC78" s="14">
        <v>-89.4703194444444</v>
      </c>
      <c r="AD78" s="14">
        <v>46.0246472222222</v>
      </c>
      <c r="AE78" s="9" t="s">
        <v>359</v>
      </c>
      <c r="AF78" s="9"/>
      <c r="AG78" s="9" t="s">
        <v>350</v>
      </c>
      <c r="AH78" s="9" t="s">
        <v>96</v>
      </c>
      <c r="AI78" s="6">
        <v>2018</v>
      </c>
      <c r="AJ78" s="9" t="s">
        <v>152</v>
      </c>
      <c r="AK78" s="7" t="s">
        <v>351</v>
      </c>
      <c r="AL78" s="7" t="s">
        <v>90</v>
      </c>
      <c r="AM78" s="7" t="s">
        <v>352</v>
      </c>
      <c r="AN78" s="22">
        <v>8.4</v>
      </c>
    </row>
    <row r="79" spans="1:40">
      <c r="A79" s="6" cm="1">
        <f t="array" ref="A79">IF(COUNTIF(B$2:B79,B79)&gt;1,INDEX(A$1:A78,MATCH(B79,B$1:B78,0)),MAX(A$1:A78)+1)</f>
        <v>18</v>
      </c>
      <c r="B79" s="7" t="s">
        <v>343</v>
      </c>
      <c r="C79" s="3" t="s">
        <v>344</v>
      </c>
      <c r="D79" s="8" t="s">
        <v>345</v>
      </c>
      <c r="E79" s="7" t="s">
        <v>346</v>
      </c>
      <c r="F79" s="7" t="s">
        <v>347</v>
      </c>
      <c r="G79" s="7" t="s">
        <v>235</v>
      </c>
      <c r="H79" s="7" t="s">
        <v>348</v>
      </c>
      <c r="I79" s="7" t="s">
        <v>112</v>
      </c>
      <c r="J79" s="7" t="s">
        <v>79</v>
      </c>
      <c r="K79" s="7" t="s">
        <v>80</v>
      </c>
      <c r="L79" s="7"/>
      <c r="M79" s="7" t="s">
        <v>275</v>
      </c>
      <c r="N79" s="15">
        <v>50</v>
      </c>
      <c r="O79" s="13"/>
      <c r="P79" s="13">
        <v>19</v>
      </c>
      <c r="Q79" s="13"/>
      <c r="R79" s="13">
        <v>14</v>
      </c>
      <c r="S79" s="13">
        <v>10.8</v>
      </c>
      <c r="T79" s="13">
        <v>3.8</v>
      </c>
      <c r="U79" s="13">
        <v>115.9</v>
      </c>
      <c r="V79" s="13">
        <v>21.2</v>
      </c>
      <c r="W79" s="13" t="s">
        <v>115</v>
      </c>
      <c r="X79" s="13" t="s">
        <v>222</v>
      </c>
      <c r="Y79" s="13" t="s">
        <v>149</v>
      </c>
      <c r="Z79" s="17">
        <v>3</v>
      </c>
      <c r="AA79" s="17">
        <v>3</v>
      </c>
      <c r="AB79" s="13" t="s">
        <v>118</v>
      </c>
      <c r="AC79" s="13">
        <v>-87.9392416666666</v>
      </c>
      <c r="AD79" s="13">
        <v>43.033125</v>
      </c>
      <c r="AE79" s="7" t="s">
        <v>360</v>
      </c>
      <c r="AF79" s="7"/>
      <c r="AG79" s="7" t="s">
        <v>350</v>
      </c>
      <c r="AH79" s="7" t="s">
        <v>96</v>
      </c>
      <c r="AI79" s="21">
        <v>2018</v>
      </c>
      <c r="AJ79" s="7" t="s">
        <v>152</v>
      </c>
      <c r="AK79" s="7" t="s">
        <v>351</v>
      </c>
      <c r="AL79" s="7" t="s">
        <v>90</v>
      </c>
      <c r="AM79" s="7" t="s">
        <v>352</v>
      </c>
      <c r="AN79" s="22">
        <v>2.2</v>
      </c>
    </row>
    <row r="80" spans="1:40">
      <c r="A80" s="6" cm="1">
        <f t="array" ref="A80">IF(COUNTIF(B$2:B80,B80)&gt;1,INDEX(A$1:A79,MATCH(B80,B$1:B79,0)),MAX(A$1:A79)+1)</f>
        <v>18</v>
      </c>
      <c r="B80" s="9" t="s">
        <v>343</v>
      </c>
      <c r="C80" s="10" t="s">
        <v>344</v>
      </c>
      <c r="D80" s="11" t="s">
        <v>361</v>
      </c>
      <c r="E80" s="9" t="s">
        <v>362</v>
      </c>
      <c r="F80" s="9" t="s">
        <v>363</v>
      </c>
      <c r="G80" s="9" t="s">
        <v>235</v>
      </c>
      <c r="H80" s="9" t="s">
        <v>364</v>
      </c>
      <c r="I80" s="9" t="s">
        <v>112</v>
      </c>
      <c r="J80" s="9" t="s">
        <v>79</v>
      </c>
      <c r="K80" s="9" t="s">
        <v>80</v>
      </c>
      <c r="L80" s="9"/>
      <c r="M80" s="9" t="s">
        <v>81</v>
      </c>
      <c r="N80" s="22"/>
      <c r="O80" s="25">
        <v>7.3</v>
      </c>
      <c r="P80" s="14">
        <v>18.4</v>
      </c>
      <c r="Q80" s="14"/>
      <c r="R80" s="14">
        <v>12</v>
      </c>
      <c r="S80" s="14">
        <v>10.9</v>
      </c>
      <c r="T80" s="14">
        <v>3.1</v>
      </c>
      <c r="U80" s="14">
        <v>62.5</v>
      </c>
      <c r="V80" s="14">
        <v>8.9</v>
      </c>
      <c r="W80" s="14" t="s">
        <v>115</v>
      </c>
      <c r="X80" s="14" t="s">
        <v>222</v>
      </c>
      <c r="Y80" s="14" t="s">
        <v>83</v>
      </c>
      <c r="Z80" s="18">
        <v>1</v>
      </c>
      <c r="AA80" s="18">
        <v>3</v>
      </c>
      <c r="AB80" s="14" t="s">
        <v>219</v>
      </c>
      <c r="AC80" s="14">
        <v>-87.657537</v>
      </c>
      <c r="AD80" s="14">
        <v>41.999782</v>
      </c>
      <c r="AE80" s="9" t="s">
        <v>365</v>
      </c>
      <c r="AF80" s="9"/>
      <c r="AG80" s="9" t="s">
        <v>350</v>
      </c>
      <c r="AH80" s="9" t="s">
        <v>96</v>
      </c>
      <c r="AI80" s="6">
        <v>2018</v>
      </c>
      <c r="AJ80" s="9" t="s">
        <v>152</v>
      </c>
      <c r="AK80" s="7" t="s">
        <v>351</v>
      </c>
      <c r="AL80" s="7" t="s">
        <v>90</v>
      </c>
      <c r="AM80" s="7" t="s">
        <v>352</v>
      </c>
      <c r="AN80" s="22">
        <v>19</v>
      </c>
    </row>
    <row r="81" spans="1:40">
      <c r="A81" s="6" cm="1">
        <f t="array" ref="A81">IF(COUNTIF(B$2:B81,B81)&gt;1,INDEX(A$1:A80,MATCH(B81,B$1:B80,0)),MAX(A$1:A80)+1)</f>
        <v>18</v>
      </c>
      <c r="B81" s="7" t="s">
        <v>343</v>
      </c>
      <c r="C81" s="3" t="s">
        <v>344</v>
      </c>
      <c r="D81" s="8" t="s">
        <v>366</v>
      </c>
      <c r="E81" s="7" t="s">
        <v>108</v>
      </c>
      <c r="F81" s="7" t="s">
        <v>367</v>
      </c>
      <c r="G81" s="7" t="s">
        <v>235</v>
      </c>
      <c r="H81" s="7" t="s">
        <v>368</v>
      </c>
      <c r="I81" s="7" t="s">
        <v>112</v>
      </c>
      <c r="J81" s="7" t="s">
        <v>79</v>
      </c>
      <c r="K81" s="7" t="s">
        <v>80</v>
      </c>
      <c r="L81" s="7"/>
      <c r="M81" s="7" t="s">
        <v>81</v>
      </c>
      <c r="N81" s="12">
        <v>3000</v>
      </c>
      <c r="O81" s="14"/>
      <c r="P81" s="13">
        <v>19</v>
      </c>
      <c r="Q81" s="13">
        <v>12.5</v>
      </c>
      <c r="R81" s="13">
        <v>16.5</v>
      </c>
      <c r="S81" s="13">
        <v>11.6</v>
      </c>
      <c r="T81" s="13">
        <v>4.5</v>
      </c>
      <c r="U81" s="13">
        <v>75.2</v>
      </c>
      <c r="V81" s="13">
        <v>19.5</v>
      </c>
      <c r="W81" s="13" t="s">
        <v>82</v>
      </c>
      <c r="X81" s="13" t="s">
        <v>369</v>
      </c>
      <c r="Y81" s="13" t="s">
        <v>83</v>
      </c>
      <c r="Z81" s="17">
        <v>2</v>
      </c>
      <c r="AA81" s="17">
        <v>3</v>
      </c>
      <c r="AB81" s="13" t="s">
        <v>261</v>
      </c>
      <c r="AC81" s="13">
        <v>-87.657537</v>
      </c>
      <c r="AD81" s="13">
        <v>41.999782</v>
      </c>
      <c r="AE81" s="7" t="s">
        <v>365</v>
      </c>
      <c r="AF81" s="7"/>
      <c r="AG81" s="7" t="s">
        <v>350</v>
      </c>
      <c r="AH81" s="7" t="s">
        <v>96</v>
      </c>
      <c r="AI81" s="21">
        <v>2018</v>
      </c>
      <c r="AJ81" s="7" t="s">
        <v>152</v>
      </c>
      <c r="AK81" s="7" t="s">
        <v>351</v>
      </c>
      <c r="AL81" s="7" t="s">
        <v>90</v>
      </c>
      <c r="AM81" s="7" t="s">
        <v>352</v>
      </c>
      <c r="AN81" s="22">
        <v>13.7</v>
      </c>
    </row>
    <row r="82" spans="1:40">
      <c r="A82" s="6" cm="1">
        <f t="array" ref="A82">IF(COUNTIF(B$2:B82,B82)&gt;1,INDEX(A$1:A81,MATCH(B82,B$1:B81,0)),MAX(A$1:A81)+1)</f>
        <v>18</v>
      </c>
      <c r="B82" s="9" t="s">
        <v>343</v>
      </c>
      <c r="C82" s="10" t="s">
        <v>344</v>
      </c>
      <c r="D82" s="11" t="s">
        <v>370</v>
      </c>
      <c r="E82" s="9" t="s">
        <v>284</v>
      </c>
      <c r="F82" s="9" t="s">
        <v>371</v>
      </c>
      <c r="G82" s="9" t="s">
        <v>235</v>
      </c>
      <c r="H82" s="9" t="s">
        <v>259</v>
      </c>
      <c r="I82" s="9" t="s">
        <v>112</v>
      </c>
      <c r="J82" s="9" t="s">
        <v>79</v>
      </c>
      <c r="K82" s="9" t="s">
        <v>80</v>
      </c>
      <c r="L82" s="9"/>
      <c r="M82" s="9" t="s">
        <v>81</v>
      </c>
      <c r="N82" s="12"/>
      <c r="O82" s="14"/>
      <c r="P82" s="14">
        <v>27.8</v>
      </c>
      <c r="Q82" s="14"/>
      <c r="R82" s="14">
        <v>17.2</v>
      </c>
      <c r="S82" s="14">
        <v>18.8</v>
      </c>
      <c r="T82" s="14">
        <v>3.4</v>
      </c>
      <c r="U82" s="14">
        <v>89</v>
      </c>
      <c r="V82" s="14">
        <v>30.1</v>
      </c>
      <c r="W82" s="14" t="s">
        <v>81</v>
      </c>
      <c r="X82" s="14" t="s">
        <v>222</v>
      </c>
      <c r="Y82" s="14" t="s">
        <v>83</v>
      </c>
      <c r="Z82" s="18">
        <v>1</v>
      </c>
      <c r="AA82" s="18">
        <v>3</v>
      </c>
      <c r="AB82" s="14" t="s">
        <v>261</v>
      </c>
      <c r="AC82" s="14">
        <v>-87.657537</v>
      </c>
      <c r="AD82" s="14">
        <v>41.999782</v>
      </c>
      <c r="AE82" s="9" t="s">
        <v>365</v>
      </c>
      <c r="AF82" s="9"/>
      <c r="AG82" s="9" t="s">
        <v>350</v>
      </c>
      <c r="AH82" s="9" t="s">
        <v>96</v>
      </c>
      <c r="AI82" s="6">
        <v>2018</v>
      </c>
      <c r="AJ82" s="9" t="s">
        <v>152</v>
      </c>
      <c r="AK82" s="7" t="s">
        <v>351</v>
      </c>
      <c r="AL82" s="7" t="s">
        <v>90</v>
      </c>
      <c r="AM82" s="7" t="s">
        <v>352</v>
      </c>
      <c r="AN82" s="22">
        <v>35.3</v>
      </c>
    </row>
    <row r="83" spans="1:40">
      <c r="A83" s="6" cm="1">
        <f t="array" ref="A83">IF(COUNTIF(B$2:B83,B83)&gt;1,INDEX(A$1:A82,MATCH(B83,B$1:B82,0)),MAX(A$1:A82)+1)</f>
        <v>18</v>
      </c>
      <c r="B83" s="7" t="s">
        <v>343</v>
      </c>
      <c r="C83" s="3" t="s">
        <v>344</v>
      </c>
      <c r="D83" s="8" t="s">
        <v>372</v>
      </c>
      <c r="E83" s="7" t="s">
        <v>373</v>
      </c>
      <c r="F83" s="7" t="s">
        <v>374</v>
      </c>
      <c r="G83" s="7" t="s">
        <v>235</v>
      </c>
      <c r="H83" s="7" t="s">
        <v>368</v>
      </c>
      <c r="I83" s="7" t="s">
        <v>112</v>
      </c>
      <c r="J83" s="7" t="s">
        <v>79</v>
      </c>
      <c r="K83" s="7" t="s">
        <v>80</v>
      </c>
      <c r="L83" s="7"/>
      <c r="M83" s="7" t="s">
        <v>81</v>
      </c>
      <c r="N83" s="15"/>
      <c r="O83" s="13"/>
      <c r="P83" s="13">
        <v>26</v>
      </c>
      <c r="Q83" s="13"/>
      <c r="R83" s="13">
        <v>17</v>
      </c>
      <c r="S83" s="13">
        <v>13.6</v>
      </c>
      <c r="T83" s="13">
        <v>5.1</v>
      </c>
      <c r="U83" s="13">
        <v>72.8</v>
      </c>
      <c r="V83" s="13">
        <v>24.4</v>
      </c>
      <c r="W83" s="13" t="s">
        <v>82</v>
      </c>
      <c r="X83" s="13" t="s">
        <v>81</v>
      </c>
      <c r="Y83" s="13" t="s">
        <v>206</v>
      </c>
      <c r="Z83" s="17">
        <v>2</v>
      </c>
      <c r="AA83" s="17">
        <v>3</v>
      </c>
      <c r="AB83" s="13" t="s">
        <v>84</v>
      </c>
      <c r="AC83" s="13">
        <v>-87.657537</v>
      </c>
      <c r="AD83" s="13">
        <v>41.999782</v>
      </c>
      <c r="AE83" s="7" t="s">
        <v>365</v>
      </c>
      <c r="AF83" s="7"/>
      <c r="AG83" s="7" t="s">
        <v>350</v>
      </c>
      <c r="AH83" s="7" t="s">
        <v>96</v>
      </c>
      <c r="AI83" s="21">
        <v>2018</v>
      </c>
      <c r="AJ83" s="7" t="s">
        <v>152</v>
      </c>
      <c r="AK83" s="7" t="s">
        <v>351</v>
      </c>
      <c r="AL83" s="7" t="s">
        <v>90</v>
      </c>
      <c r="AM83" s="7" t="s">
        <v>352</v>
      </c>
      <c r="AN83" s="22">
        <v>19.3</v>
      </c>
    </row>
    <row r="84" spans="1:40">
      <c r="A84" s="6" cm="1">
        <f t="array" ref="A84">IF(COUNTIF(B$2:B84,B84)&gt;1,INDEX(A$1:A83,MATCH(B84,B$1:B83,0)),MAX(A$1:A83)+1)</f>
        <v>18</v>
      </c>
      <c r="B84" s="9" t="s">
        <v>343</v>
      </c>
      <c r="C84" s="10" t="s">
        <v>344</v>
      </c>
      <c r="D84" s="11" t="s">
        <v>375</v>
      </c>
      <c r="E84" s="9" t="s">
        <v>124</v>
      </c>
      <c r="F84" s="9" t="s">
        <v>376</v>
      </c>
      <c r="G84" s="9" t="s">
        <v>235</v>
      </c>
      <c r="H84" s="9" t="s">
        <v>364</v>
      </c>
      <c r="I84" s="9" t="s">
        <v>112</v>
      </c>
      <c r="J84" s="9" t="s">
        <v>79</v>
      </c>
      <c r="K84" s="9" t="s">
        <v>80</v>
      </c>
      <c r="L84" s="9"/>
      <c r="M84" s="9" t="s">
        <v>275</v>
      </c>
      <c r="N84" s="12">
        <v>1475</v>
      </c>
      <c r="O84" s="14"/>
      <c r="P84" s="14">
        <v>21</v>
      </c>
      <c r="Q84" s="14"/>
      <c r="R84" s="14"/>
      <c r="S84" s="14">
        <v>15.1</v>
      </c>
      <c r="T84" s="14">
        <v>3.6</v>
      </c>
      <c r="U84" s="14">
        <v>73.2</v>
      </c>
      <c r="V84" s="14">
        <v>18.8</v>
      </c>
      <c r="W84" s="14" t="s">
        <v>115</v>
      </c>
      <c r="X84" s="14" t="s">
        <v>222</v>
      </c>
      <c r="Y84" s="14" t="s">
        <v>83</v>
      </c>
      <c r="Z84" s="18">
        <v>1</v>
      </c>
      <c r="AA84" s="18">
        <v>3</v>
      </c>
      <c r="AB84" s="14" t="s">
        <v>84</v>
      </c>
      <c r="AC84" s="14">
        <v>-87.657537</v>
      </c>
      <c r="AD84" s="14">
        <v>41.999782</v>
      </c>
      <c r="AE84" s="9" t="s">
        <v>365</v>
      </c>
      <c r="AF84" s="9"/>
      <c r="AG84" s="9" t="s">
        <v>350</v>
      </c>
      <c r="AH84" s="9" t="s">
        <v>96</v>
      </c>
      <c r="AI84" s="6">
        <v>2018</v>
      </c>
      <c r="AJ84" s="9" t="s">
        <v>152</v>
      </c>
      <c r="AK84" s="7" t="s">
        <v>351</v>
      </c>
      <c r="AL84" s="7" t="s">
        <v>90</v>
      </c>
      <c r="AM84" s="7" t="s">
        <v>352</v>
      </c>
      <c r="AN84" s="22">
        <v>10</v>
      </c>
    </row>
    <row r="85" spans="1:40">
      <c r="A85" s="6" cm="1">
        <f t="array" ref="A85">IF(COUNTIF(B$2:B85,B85)&gt;1,INDEX(A$1:A84,MATCH(B85,B$1:B84,0)),MAX(A$1:A84)+1)</f>
        <v>19</v>
      </c>
      <c r="B85" s="7" t="s">
        <v>377</v>
      </c>
      <c r="C85" s="3" t="s">
        <v>378</v>
      </c>
      <c r="D85" s="8" t="s">
        <v>379</v>
      </c>
      <c r="E85" s="7" t="s">
        <v>108</v>
      </c>
      <c r="F85" s="7" t="s">
        <v>380</v>
      </c>
      <c r="G85" s="7" t="s">
        <v>158</v>
      </c>
      <c r="H85" s="7" t="s">
        <v>159</v>
      </c>
      <c r="I85" s="7" t="s">
        <v>112</v>
      </c>
      <c r="J85" s="7" t="s">
        <v>79</v>
      </c>
      <c r="K85" s="7" t="s">
        <v>161</v>
      </c>
      <c r="L85" s="7" t="s">
        <v>381</v>
      </c>
      <c r="M85" s="7" t="s">
        <v>82</v>
      </c>
      <c r="N85" s="15">
        <v>2500</v>
      </c>
      <c r="O85" s="13">
        <v>1606</v>
      </c>
      <c r="P85" s="13">
        <v>3307</v>
      </c>
      <c r="Q85" s="13"/>
      <c r="R85" s="13">
        <v>70</v>
      </c>
      <c r="S85" s="13">
        <v>61.8</v>
      </c>
      <c r="T85" s="13">
        <v>19.4</v>
      </c>
      <c r="U85" s="13">
        <v>411.8</v>
      </c>
      <c r="V85" s="13">
        <v>2636.2</v>
      </c>
      <c r="W85" s="13" t="s">
        <v>82</v>
      </c>
      <c r="X85" s="13" t="s">
        <v>162</v>
      </c>
      <c r="Y85" s="13" t="s">
        <v>382</v>
      </c>
      <c r="Z85" s="17">
        <v>3</v>
      </c>
      <c r="AA85" s="17">
        <v>3</v>
      </c>
      <c r="AB85" s="13" t="s">
        <v>84</v>
      </c>
      <c r="AC85" s="13">
        <v>-78.014916</v>
      </c>
      <c r="AD85" s="13">
        <v>66.473425</v>
      </c>
      <c r="AE85" s="7"/>
      <c r="AF85" s="7"/>
      <c r="AG85" s="7" t="s">
        <v>383</v>
      </c>
      <c r="AH85" s="9" t="s">
        <v>96</v>
      </c>
      <c r="AI85" s="21">
        <v>2015</v>
      </c>
      <c r="AJ85" s="9" t="s">
        <v>91</v>
      </c>
      <c r="AK85" s="7" t="s">
        <v>97</v>
      </c>
      <c r="AL85" s="7" t="s">
        <v>98</v>
      </c>
      <c r="AM85" s="7" t="s">
        <v>384</v>
      </c>
      <c r="AN85" s="22">
        <v>0.02</v>
      </c>
    </row>
    <row r="86" spans="1:40">
      <c r="A86" s="6" cm="1">
        <f t="array" ref="A86">IF(COUNTIF(B$2:B86,B86)&gt;1,INDEX(A$1:A85,MATCH(B86,B$1:B85,0)),MAX(A$1:A85)+1)</f>
        <v>19</v>
      </c>
      <c r="B86" s="9" t="s">
        <v>377</v>
      </c>
      <c r="C86" s="10" t="s">
        <v>378</v>
      </c>
      <c r="D86" s="11" t="s">
        <v>385</v>
      </c>
      <c r="E86" s="9" t="s">
        <v>108</v>
      </c>
      <c r="F86" s="9" t="s">
        <v>386</v>
      </c>
      <c r="G86" s="9" t="s">
        <v>158</v>
      </c>
      <c r="H86" s="9" t="s">
        <v>159</v>
      </c>
      <c r="I86" s="9" t="s">
        <v>112</v>
      </c>
      <c r="J86" s="9" t="s">
        <v>79</v>
      </c>
      <c r="K86" s="9" t="s">
        <v>161</v>
      </c>
      <c r="L86" s="9" t="s">
        <v>387</v>
      </c>
      <c r="M86" s="9" t="s">
        <v>82</v>
      </c>
      <c r="N86" s="12">
        <v>2000</v>
      </c>
      <c r="O86" s="14">
        <v>3000</v>
      </c>
      <c r="P86" s="14">
        <v>10009</v>
      </c>
      <c r="Q86" s="14">
        <v>76</v>
      </c>
      <c r="R86" s="14">
        <v>110</v>
      </c>
      <c r="S86" s="14">
        <v>50</v>
      </c>
      <c r="T86" s="14">
        <v>19.9</v>
      </c>
      <c r="U86" s="14">
        <v>422.9</v>
      </c>
      <c r="V86" s="14">
        <v>2811.7</v>
      </c>
      <c r="W86" s="14" t="s">
        <v>82</v>
      </c>
      <c r="X86" s="14" t="s">
        <v>388</v>
      </c>
      <c r="Y86" s="14" t="s">
        <v>382</v>
      </c>
      <c r="Z86" s="18">
        <v>3</v>
      </c>
      <c r="AA86" s="18">
        <v>3</v>
      </c>
      <c r="AB86" s="14" t="s">
        <v>84</v>
      </c>
      <c r="AC86" s="14">
        <v>-78.014916</v>
      </c>
      <c r="AD86" s="14">
        <v>66.473425</v>
      </c>
      <c r="AE86" s="9"/>
      <c r="AF86" s="9"/>
      <c r="AG86" s="9" t="s">
        <v>383</v>
      </c>
      <c r="AH86" s="9" t="s">
        <v>96</v>
      </c>
      <c r="AI86" s="6">
        <v>2015</v>
      </c>
      <c r="AJ86" s="9" t="s">
        <v>91</v>
      </c>
      <c r="AK86" s="7" t="s">
        <v>97</v>
      </c>
      <c r="AL86" s="7" t="s">
        <v>98</v>
      </c>
      <c r="AM86" s="7" t="s">
        <v>384</v>
      </c>
      <c r="AN86" s="22">
        <v>0.05</v>
      </c>
    </row>
    <row r="87" spans="1:40">
      <c r="A87" s="6" cm="1">
        <f t="array" ref="A87">IF(COUNTIF(B$2:B87,B87)&gt;1,INDEX(A$1:A86,MATCH(B87,B$1:B86,0)),MAX(A$1:A86)+1)</f>
        <v>19</v>
      </c>
      <c r="B87" s="7" t="s">
        <v>377</v>
      </c>
      <c r="C87" s="3" t="s">
        <v>378</v>
      </c>
      <c r="D87" s="8" t="s">
        <v>389</v>
      </c>
      <c r="E87" s="20" t="s">
        <v>373</v>
      </c>
      <c r="F87" s="7" t="s">
        <v>390</v>
      </c>
      <c r="G87" s="7" t="s">
        <v>158</v>
      </c>
      <c r="H87" s="7" t="s">
        <v>159</v>
      </c>
      <c r="I87" s="7" t="s">
        <v>112</v>
      </c>
      <c r="J87" s="7" t="s">
        <v>79</v>
      </c>
      <c r="K87" s="7" t="s">
        <v>161</v>
      </c>
      <c r="L87" s="7"/>
      <c r="M87" s="7" t="s">
        <v>82</v>
      </c>
      <c r="N87" s="15"/>
      <c r="O87" s="13">
        <v>665</v>
      </c>
      <c r="P87" s="13">
        <v>1330</v>
      </c>
      <c r="Q87" s="13">
        <v>45</v>
      </c>
      <c r="R87" s="13">
        <v>58</v>
      </c>
      <c r="S87" s="13">
        <v>44.9</v>
      </c>
      <c r="T87" s="13">
        <v>16</v>
      </c>
      <c r="U87" s="13">
        <v>253.2</v>
      </c>
      <c r="V87" s="13">
        <v>754.6</v>
      </c>
      <c r="W87" s="13" t="s">
        <v>82</v>
      </c>
      <c r="X87" s="13" t="s">
        <v>81</v>
      </c>
      <c r="Y87" s="13" t="s">
        <v>149</v>
      </c>
      <c r="Z87" s="17">
        <v>3</v>
      </c>
      <c r="AA87" s="17">
        <v>3</v>
      </c>
      <c r="AB87" s="13" t="s">
        <v>84</v>
      </c>
      <c r="AC87" s="13">
        <v>-78.014916</v>
      </c>
      <c r="AD87" s="13">
        <v>66.473425</v>
      </c>
      <c r="AE87" s="7"/>
      <c r="AF87" s="7"/>
      <c r="AG87" s="7" t="s">
        <v>383</v>
      </c>
      <c r="AH87" s="9" t="s">
        <v>96</v>
      </c>
      <c r="AI87" s="21">
        <v>2015</v>
      </c>
      <c r="AJ87" s="9" t="s">
        <v>91</v>
      </c>
      <c r="AK87" s="7" t="s">
        <v>97</v>
      </c>
      <c r="AL87" s="7" t="s">
        <v>98</v>
      </c>
      <c r="AM87" s="7" t="s">
        <v>384</v>
      </c>
      <c r="AN87" s="22">
        <v>0.06</v>
      </c>
    </row>
    <row r="88" spans="1:40">
      <c r="A88" s="6" cm="1">
        <f t="array" ref="A88">IF(COUNTIF(B$2:B88,B88)&gt;1,INDEX(A$1:A87,MATCH(B88,B$1:B87,0)),MAX(A$1:A87)+1)</f>
        <v>19</v>
      </c>
      <c r="B88" s="9" t="s">
        <v>377</v>
      </c>
      <c r="C88" s="10" t="s">
        <v>378</v>
      </c>
      <c r="D88" s="11" t="s">
        <v>156</v>
      </c>
      <c r="E88" s="9" t="s">
        <v>108</v>
      </c>
      <c r="F88" s="9" t="s">
        <v>157</v>
      </c>
      <c r="G88" s="9" t="s">
        <v>158</v>
      </c>
      <c r="H88" s="9" t="s">
        <v>159</v>
      </c>
      <c r="I88" s="9" t="s">
        <v>112</v>
      </c>
      <c r="J88" s="9" t="s">
        <v>79</v>
      </c>
      <c r="K88" s="9" t="s">
        <v>161</v>
      </c>
      <c r="L88" s="9" t="s">
        <v>391</v>
      </c>
      <c r="M88" s="9" t="s">
        <v>81</v>
      </c>
      <c r="N88" s="12">
        <v>1000</v>
      </c>
      <c r="O88" s="14"/>
      <c r="P88" s="14">
        <v>1082</v>
      </c>
      <c r="Q88" s="14"/>
      <c r="R88" s="14"/>
      <c r="S88" s="14">
        <v>58.5</v>
      </c>
      <c r="T88" s="14">
        <v>20.8</v>
      </c>
      <c r="U88" s="14">
        <v>263.4</v>
      </c>
      <c r="V88" s="14">
        <v>843.4</v>
      </c>
      <c r="W88" s="14" t="s">
        <v>82</v>
      </c>
      <c r="X88" s="14" t="s">
        <v>162</v>
      </c>
      <c r="Y88" s="14" t="s">
        <v>149</v>
      </c>
      <c r="Z88" s="18">
        <v>3</v>
      </c>
      <c r="AA88" s="18">
        <v>2</v>
      </c>
      <c r="AB88" s="14" t="s">
        <v>136</v>
      </c>
      <c r="AC88" s="14">
        <v>-78.014916</v>
      </c>
      <c r="AD88" s="14">
        <v>66.473425</v>
      </c>
      <c r="AE88" s="9"/>
      <c r="AF88" s="9"/>
      <c r="AG88" s="9" t="s">
        <v>383</v>
      </c>
      <c r="AH88" s="9" t="s">
        <v>96</v>
      </c>
      <c r="AI88" s="6">
        <v>2015</v>
      </c>
      <c r="AJ88" s="9" t="s">
        <v>91</v>
      </c>
      <c r="AK88" s="7" t="s">
        <v>97</v>
      </c>
      <c r="AL88" s="7" t="s">
        <v>98</v>
      </c>
      <c r="AM88" s="7" t="s">
        <v>384</v>
      </c>
      <c r="AN88" s="22">
        <v>0.07</v>
      </c>
    </row>
    <row r="89" spans="1:40">
      <c r="A89" s="6" cm="1">
        <f t="array" ref="A89">IF(COUNTIF(B$2:B89,B89)&gt;1,INDEX(A$1:A88,MATCH(B89,B$1:B88,0)),MAX(A$1:A88)+1)</f>
        <v>19</v>
      </c>
      <c r="B89" s="7" t="s">
        <v>377</v>
      </c>
      <c r="C89" s="3" t="s">
        <v>378</v>
      </c>
      <c r="D89" s="8" t="s">
        <v>392</v>
      </c>
      <c r="E89" s="7" t="s">
        <v>108</v>
      </c>
      <c r="F89" s="7" t="s">
        <v>393</v>
      </c>
      <c r="G89" s="7" t="s">
        <v>158</v>
      </c>
      <c r="H89" s="7" t="s">
        <v>159</v>
      </c>
      <c r="I89" s="7" t="s">
        <v>112</v>
      </c>
      <c r="J89" s="7" t="s">
        <v>79</v>
      </c>
      <c r="K89" s="7" t="s">
        <v>161</v>
      </c>
      <c r="L89" s="7" t="s">
        <v>394</v>
      </c>
      <c r="M89" s="7" t="s">
        <v>81</v>
      </c>
      <c r="N89" s="15"/>
      <c r="O89" s="13">
        <v>454</v>
      </c>
      <c r="P89" s="13">
        <v>1362</v>
      </c>
      <c r="Q89" s="13"/>
      <c r="R89" s="13"/>
      <c r="S89" s="13">
        <v>48.1</v>
      </c>
      <c r="T89" s="13">
        <v>14.5</v>
      </c>
      <c r="U89" s="13">
        <v>256.7</v>
      </c>
      <c r="V89" s="13">
        <v>944.6</v>
      </c>
      <c r="W89" s="13" t="s">
        <v>82</v>
      </c>
      <c r="X89" s="13" t="s">
        <v>162</v>
      </c>
      <c r="Y89" s="13" t="s">
        <v>136</v>
      </c>
      <c r="Z89" s="17">
        <v>3</v>
      </c>
      <c r="AA89" s="17">
        <v>3</v>
      </c>
      <c r="AB89" s="13" t="s">
        <v>136</v>
      </c>
      <c r="AC89" s="13">
        <v>-78.014916</v>
      </c>
      <c r="AD89" s="13">
        <v>66.473425</v>
      </c>
      <c r="AE89" s="7"/>
      <c r="AF89" s="7"/>
      <c r="AG89" s="7" t="s">
        <v>383</v>
      </c>
      <c r="AH89" s="9" t="s">
        <v>96</v>
      </c>
      <c r="AI89" s="21">
        <v>2015</v>
      </c>
      <c r="AJ89" s="9" t="s">
        <v>91</v>
      </c>
      <c r="AK89" s="7" t="s">
        <v>97</v>
      </c>
      <c r="AL89" s="7" t="s">
        <v>98</v>
      </c>
      <c r="AM89" s="7" t="s">
        <v>384</v>
      </c>
      <c r="AN89" s="22">
        <v>0.1</v>
      </c>
    </row>
    <row r="90" spans="1:40">
      <c r="A90" s="6" cm="1">
        <f t="array" ref="A90">IF(COUNTIF(B$2:B90,B90)&gt;1,INDEX(A$1:A89,MATCH(B90,B$1:B89,0)),MAX(A$1:A89)+1)</f>
        <v>19</v>
      </c>
      <c r="B90" s="9" t="s">
        <v>377</v>
      </c>
      <c r="C90" s="10" t="s">
        <v>378</v>
      </c>
      <c r="D90" s="11" t="s">
        <v>395</v>
      </c>
      <c r="E90" s="9" t="s">
        <v>396</v>
      </c>
      <c r="F90" s="9" t="s">
        <v>397</v>
      </c>
      <c r="G90" s="9" t="s">
        <v>158</v>
      </c>
      <c r="H90" s="9" t="s">
        <v>159</v>
      </c>
      <c r="I90" s="9" t="s">
        <v>112</v>
      </c>
      <c r="J90" s="9" t="s">
        <v>79</v>
      </c>
      <c r="K90" s="9" t="s">
        <v>113</v>
      </c>
      <c r="L90" s="9" t="s">
        <v>398</v>
      </c>
      <c r="M90" s="9" t="s">
        <v>115</v>
      </c>
      <c r="N90" s="12"/>
      <c r="O90" s="14"/>
      <c r="P90" s="14"/>
      <c r="Q90" s="14"/>
      <c r="R90" s="14"/>
      <c r="S90" s="14">
        <v>46.8</v>
      </c>
      <c r="T90" s="14">
        <v>27.2</v>
      </c>
      <c r="U90" s="14">
        <v>270</v>
      </c>
      <c r="V90" s="14">
        <v>1800.2</v>
      </c>
      <c r="W90" s="14" t="s">
        <v>115</v>
      </c>
      <c r="X90" s="14" t="s">
        <v>116</v>
      </c>
      <c r="Y90" s="14" t="s">
        <v>149</v>
      </c>
      <c r="Z90" s="18">
        <v>3</v>
      </c>
      <c r="AA90" s="18">
        <v>3</v>
      </c>
      <c r="AB90" s="14" t="s">
        <v>136</v>
      </c>
      <c r="AC90" s="14">
        <v>-78.014916</v>
      </c>
      <c r="AD90" s="14">
        <v>66.473425</v>
      </c>
      <c r="AE90" s="9"/>
      <c r="AF90" s="9"/>
      <c r="AG90" s="9" t="s">
        <v>383</v>
      </c>
      <c r="AH90" s="9" t="s">
        <v>96</v>
      </c>
      <c r="AI90" s="6">
        <v>2015</v>
      </c>
      <c r="AJ90" s="9" t="s">
        <v>91</v>
      </c>
      <c r="AK90" s="7" t="s">
        <v>97</v>
      </c>
      <c r="AL90" s="7" t="s">
        <v>98</v>
      </c>
      <c r="AM90" s="7" t="s">
        <v>384</v>
      </c>
      <c r="AN90" s="22">
        <v>0.06</v>
      </c>
    </row>
    <row r="91" spans="1:40">
      <c r="A91" s="6" cm="1">
        <f t="array" ref="A91">IF(COUNTIF(B$2:B91,B91)&gt;1,INDEX(A$1:A90,MATCH(B91,B$1:B90,0)),MAX(A$1:A90)+1)</f>
        <v>19</v>
      </c>
      <c r="B91" s="7" t="s">
        <v>377</v>
      </c>
      <c r="C91" s="3" t="s">
        <v>378</v>
      </c>
      <c r="D91" s="8" t="s">
        <v>399</v>
      </c>
      <c r="E91" s="7" t="s">
        <v>108</v>
      </c>
      <c r="F91" s="8" t="s">
        <v>400</v>
      </c>
      <c r="G91" s="7" t="s">
        <v>158</v>
      </c>
      <c r="H91" s="7" t="s">
        <v>159</v>
      </c>
      <c r="I91" s="7" t="s">
        <v>112</v>
      </c>
      <c r="J91" s="7" t="s">
        <v>286</v>
      </c>
      <c r="K91" s="7" t="s">
        <v>113</v>
      </c>
      <c r="L91" s="7" t="s">
        <v>401</v>
      </c>
      <c r="M91" s="7" t="s">
        <v>115</v>
      </c>
      <c r="N91" s="15"/>
      <c r="O91" s="13">
        <v>850</v>
      </c>
      <c r="P91" s="13">
        <v>3025</v>
      </c>
      <c r="Q91" s="13">
        <v>53</v>
      </c>
      <c r="R91" s="13">
        <v>60</v>
      </c>
      <c r="S91" s="13">
        <v>62.1</v>
      </c>
      <c r="T91" s="13">
        <v>19.1</v>
      </c>
      <c r="U91" s="13">
        <v>280.2</v>
      </c>
      <c r="V91" s="13">
        <v>2060.9</v>
      </c>
      <c r="W91" s="13" t="s">
        <v>115</v>
      </c>
      <c r="X91" s="13" t="s">
        <v>116</v>
      </c>
      <c r="Y91" s="13" t="s">
        <v>117</v>
      </c>
      <c r="Z91" s="17">
        <v>3</v>
      </c>
      <c r="AA91" s="17">
        <v>2</v>
      </c>
      <c r="AB91" s="13" t="s">
        <v>136</v>
      </c>
      <c r="AC91" s="13">
        <v>-78.014916</v>
      </c>
      <c r="AD91" s="13">
        <v>66.473425</v>
      </c>
      <c r="AE91" s="7"/>
      <c r="AF91" s="7"/>
      <c r="AG91" s="7" t="s">
        <v>383</v>
      </c>
      <c r="AH91" s="9" t="s">
        <v>96</v>
      </c>
      <c r="AI91" s="21">
        <v>2015</v>
      </c>
      <c r="AJ91" s="9" t="s">
        <v>91</v>
      </c>
      <c r="AK91" s="7" t="s">
        <v>97</v>
      </c>
      <c r="AL91" s="7" t="s">
        <v>98</v>
      </c>
      <c r="AM91" s="7" t="s">
        <v>384</v>
      </c>
      <c r="AN91" s="22">
        <v>0.02</v>
      </c>
    </row>
    <row r="92" spans="1:40">
      <c r="A92" s="6" cm="1">
        <f t="array" ref="A92">IF(COUNTIF(B$2:B92,B92)&gt;1,INDEX(A$1:A91,MATCH(B92,B$1:B91,0)),MAX(A$1:A91)+1)</f>
        <v>19</v>
      </c>
      <c r="B92" s="9" t="s">
        <v>377</v>
      </c>
      <c r="C92" s="10" t="s">
        <v>378</v>
      </c>
      <c r="D92" s="11" t="s">
        <v>402</v>
      </c>
      <c r="E92" s="9" t="s">
        <v>403</v>
      </c>
      <c r="F92" s="9" t="s">
        <v>404</v>
      </c>
      <c r="G92" s="9" t="s">
        <v>405</v>
      </c>
      <c r="H92" s="9" t="s">
        <v>406</v>
      </c>
      <c r="I92" s="9" t="s">
        <v>112</v>
      </c>
      <c r="J92" s="9" t="s">
        <v>286</v>
      </c>
      <c r="K92" s="9" t="s">
        <v>113</v>
      </c>
      <c r="L92" s="9" t="s">
        <v>407</v>
      </c>
      <c r="M92" s="9" t="s">
        <v>129</v>
      </c>
      <c r="N92" s="12">
        <v>500</v>
      </c>
      <c r="O92" s="14">
        <v>4000</v>
      </c>
      <c r="P92" s="14">
        <v>6400</v>
      </c>
      <c r="Q92" s="14">
        <v>83.8</v>
      </c>
      <c r="R92" s="14">
        <v>92</v>
      </c>
      <c r="S92" s="14">
        <v>104.8</v>
      </c>
      <c r="T92" s="14">
        <v>10.4</v>
      </c>
      <c r="U92" s="14">
        <v>371.4</v>
      </c>
      <c r="V92" s="14">
        <v>4944.3</v>
      </c>
      <c r="W92" s="14" t="s">
        <v>115</v>
      </c>
      <c r="X92" s="14" t="s">
        <v>116</v>
      </c>
      <c r="Y92" s="14" t="s">
        <v>149</v>
      </c>
      <c r="Z92" s="18">
        <v>3</v>
      </c>
      <c r="AA92" s="18">
        <v>3</v>
      </c>
      <c r="AB92" s="14" t="s">
        <v>136</v>
      </c>
      <c r="AC92" s="14">
        <v>-78.014916</v>
      </c>
      <c r="AD92" s="14">
        <v>66.473425</v>
      </c>
      <c r="AE92" s="9"/>
      <c r="AF92" s="9"/>
      <c r="AG92" s="9" t="s">
        <v>383</v>
      </c>
      <c r="AH92" s="9" t="s">
        <v>96</v>
      </c>
      <c r="AI92" s="6">
        <v>2015</v>
      </c>
      <c r="AJ92" s="9" t="s">
        <v>91</v>
      </c>
      <c r="AK92" s="7" t="s">
        <v>97</v>
      </c>
      <c r="AL92" s="7" t="s">
        <v>98</v>
      </c>
      <c r="AM92" s="7" t="s">
        <v>384</v>
      </c>
      <c r="AN92" s="22">
        <v>0.33</v>
      </c>
    </row>
    <row r="93" spans="1:40">
      <c r="A93" s="6" cm="1">
        <f t="array" ref="A93">IF(COUNTIF(B$2:B93,B93)&gt;1,INDEX(A$1:A92,MATCH(B93,B$1:B92,0)),MAX(A$1:A92)+1)</f>
        <v>20</v>
      </c>
      <c r="B93" s="7" t="s">
        <v>408</v>
      </c>
      <c r="C93" s="3" t="s">
        <v>409</v>
      </c>
      <c r="D93" s="8" t="s">
        <v>410</v>
      </c>
      <c r="E93" s="7" t="s">
        <v>411</v>
      </c>
      <c r="F93" s="7" t="s">
        <v>412</v>
      </c>
      <c r="G93" s="7" t="s">
        <v>183</v>
      </c>
      <c r="H93" s="7" t="s">
        <v>184</v>
      </c>
      <c r="I93" s="7" t="s">
        <v>112</v>
      </c>
      <c r="J93" s="7" t="s">
        <v>337</v>
      </c>
      <c r="K93" s="7" t="s">
        <v>185</v>
      </c>
      <c r="L93" s="7" t="s">
        <v>413</v>
      </c>
      <c r="M93" s="7" t="s">
        <v>129</v>
      </c>
      <c r="N93" s="15">
        <v>1200</v>
      </c>
      <c r="O93" s="13"/>
      <c r="P93" s="13"/>
      <c r="Q93" s="13"/>
      <c r="R93" s="13"/>
      <c r="S93" s="13">
        <v>42.7</v>
      </c>
      <c r="T93" s="13">
        <v>7</v>
      </c>
      <c r="U93" s="13">
        <v>241</v>
      </c>
      <c r="V93" s="13">
        <v>350.8</v>
      </c>
      <c r="W93" s="13" t="s">
        <v>115</v>
      </c>
      <c r="X93" s="13" t="s">
        <v>116</v>
      </c>
      <c r="Y93" s="13" t="s">
        <v>117</v>
      </c>
      <c r="Z93" s="17">
        <v>3</v>
      </c>
      <c r="AA93" s="17">
        <v>2</v>
      </c>
      <c r="AB93" s="13" t="s">
        <v>261</v>
      </c>
      <c r="AC93" s="13">
        <v>-159.528351</v>
      </c>
      <c r="AD93" s="13">
        <v>22.056716</v>
      </c>
      <c r="AE93" s="7" t="s">
        <v>414</v>
      </c>
      <c r="AF93" s="7"/>
      <c r="AG93" s="7" t="s">
        <v>121</v>
      </c>
      <c r="AH93" s="7" t="s">
        <v>96</v>
      </c>
      <c r="AI93" s="21">
        <v>2013</v>
      </c>
      <c r="AJ93" s="7" t="s">
        <v>152</v>
      </c>
      <c r="AK93" s="7" t="s">
        <v>97</v>
      </c>
      <c r="AL93" s="7" t="s">
        <v>98</v>
      </c>
      <c r="AM93" s="7" t="s">
        <v>99</v>
      </c>
      <c r="AN93" s="22">
        <v>1.2</v>
      </c>
    </row>
    <row r="94" spans="1:40">
      <c r="A94" s="6" cm="1">
        <f t="array" ref="A94">IF(COUNTIF(B$2:B94,B94)&gt;1,INDEX(A$1:A93,MATCH(B94,B$1:B93,0)),MAX(A$1:A93)+1)</f>
        <v>20</v>
      </c>
      <c r="B94" s="9" t="s">
        <v>408</v>
      </c>
      <c r="C94" s="10" t="s">
        <v>409</v>
      </c>
      <c r="D94" s="11" t="s">
        <v>415</v>
      </c>
      <c r="E94" s="9" t="s">
        <v>373</v>
      </c>
      <c r="F94" s="9" t="s">
        <v>416</v>
      </c>
      <c r="G94" s="9" t="s">
        <v>183</v>
      </c>
      <c r="H94" s="9" t="s">
        <v>184</v>
      </c>
      <c r="I94" s="9" t="s">
        <v>112</v>
      </c>
      <c r="J94" s="9" t="s">
        <v>79</v>
      </c>
      <c r="K94" s="9" t="s">
        <v>185</v>
      </c>
      <c r="L94" s="9" t="s">
        <v>417</v>
      </c>
      <c r="M94" s="9" t="s">
        <v>129</v>
      </c>
      <c r="N94" s="12"/>
      <c r="O94" s="14"/>
      <c r="P94" s="14"/>
      <c r="Q94" s="14"/>
      <c r="R94" s="14"/>
      <c r="S94" s="14">
        <v>40.9</v>
      </c>
      <c r="T94" s="14">
        <v>7.9</v>
      </c>
      <c r="U94" s="14">
        <v>296.8</v>
      </c>
      <c r="V94" s="14">
        <v>388</v>
      </c>
      <c r="W94" s="14" t="s">
        <v>115</v>
      </c>
      <c r="X94" s="14" t="s">
        <v>116</v>
      </c>
      <c r="Y94" s="14" t="s">
        <v>117</v>
      </c>
      <c r="Z94" s="18">
        <v>3</v>
      </c>
      <c r="AA94" s="18">
        <v>3</v>
      </c>
      <c r="AB94" s="14" t="s">
        <v>261</v>
      </c>
      <c r="AC94" s="14">
        <v>-159.528351</v>
      </c>
      <c r="AD94" s="14">
        <v>22.056716</v>
      </c>
      <c r="AE94" s="9" t="s">
        <v>414</v>
      </c>
      <c r="AF94" s="9"/>
      <c r="AG94" s="9" t="s">
        <v>121</v>
      </c>
      <c r="AH94" s="9" t="s">
        <v>96</v>
      </c>
      <c r="AI94" s="6">
        <v>2013</v>
      </c>
      <c r="AJ94" s="9" t="s">
        <v>152</v>
      </c>
      <c r="AK94" s="7" t="s">
        <v>97</v>
      </c>
      <c r="AL94" s="7" t="s">
        <v>98</v>
      </c>
      <c r="AM94" s="7" t="s">
        <v>99</v>
      </c>
      <c r="AN94" s="22">
        <v>2.38</v>
      </c>
    </row>
    <row r="95" spans="1:40">
      <c r="A95" s="6" cm="1">
        <f t="array" ref="A95">IF(COUNTIF(B$2:B95,B95)&gt;1,INDEX(A$1:A94,MATCH(B95,B$1:B94,0)),MAX(A$1:A94)+1)</f>
        <v>20</v>
      </c>
      <c r="B95" s="7" t="s">
        <v>408</v>
      </c>
      <c r="C95" s="3" t="s">
        <v>409</v>
      </c>
      <c r="D95" s="8" t="s">
        <v>415</v>
      </c>
      <c r="E95" s="7" t="s">
        <v>373</v>
      </c>
      <c r="F95" s="7" t="s">
        <v>416</v>
      </c>
      <c r="G95" s="7" t="s">
        <v>183</v>
      </c>
      <c r="H95" s="7" t="s">
        <v>184</v>
      </c>
      <c r="I95" s="7" t="s">
        <v>112</v>
      </c>
      <c r="J95" s="7" t="s">
        <v>79</v>
      </c>
      <c r="K95" s="7" t="s">
        <v>185</v>
      </c>
      <c r="L95" s="7" t="s">
        <v>417</v>
      </c>
      <c r="M95" s="7" t="s">
        <v>129</v>
      </c>
      <c r="N95" s="15"/>
      <c r="O95" s="13"/>
      <c r="P95" s="13"/>
      <c r="Q95" s="13"/>
      <c r="R95" s="13"/>
      <c r="S95" s="13">
        <v>40.9</v>
      </c>
      <c r="T95" s="13">
        <v>7.9</v>
      </c>
      <c r="U95" s="13">
        <v>296.8</v>
      </c>
      <c r="V95" s="13">
        <v>388</v>
      </c>
      <c r="W95" s="13" t="s">
        <v>115</v>
      </c>
      <c r="X95" s="13" t="s">
        <v>116</v>
      </c>
      <c r="Y95" s="13" t="s">
        <v>117</v>
      </c>
      <c r="Z95" s="17">
        <v>3</v>
      </c>
      <c r="AA95" s="17">
        <v>3</v>
      </c>
      <c r="AB95" s="13" t="s">
        <v>261</v>
      </c>
      <c r="AC95" s="13">
        <v>-159.528351</v>
      </c>
      <c r="AD95" s="13">
        <v>22.056716</v>
      </c>
      <c r="AE95" s="7" t="s">
        <v>414</v>
      </c>
      <c r="AF95" s="7"/>
      <c r="AG95" s="7" t="s">
        <v>121</v>
      </c>
      <c r="AH95" s="7" t="s">
        <v>96</v>
      </c>
      <c r="AI95" s="21">
        <v>2014</v>
      </c>
      <c r="AJ95" s="7" t="s">
        <v>152</v>
      </c>
      <c r="AK95" s="7" t="s">
        <v>97</v>
      </c>
      <c r="AL95" s="7" t="s">
        <v>98</v>
      </c>
      <c r="AM95" s="7" t="s">
        <v>99</v>
      </c>
      <c r="AN95" s="22">
        <v>3.68</v>
      </c>
    </row>
    <row r="96" spans="1:40">
      <c r="A96" s="6" cm="1">
        <f t="array" ref="A96">IF(COUNTIF(B$2:B96,B96)&gt;1,INDEX(A$1:A95,MATCH(B96,B$1:B95,0)),MAX(A$1:A95)+1)</f>
        <v>21</v>
      </c>
      <c r="B96" s="9" t="s">
        <v>418</v>
      </c>
      <c r="C96" s="10" t="s">
        <v>419</v>
      </c>
      <c r="D96" s="11" t="s">
        <v>420</v>
      </c>
      <c r="E96" s="9" t="s">
        <v>421</v>
      </c>
      <c r="F96" s="9" t="s">
        <v>422</v>
      </c>
      <c r="G96" s="9" t="s">
        <v>183</v>
      </c>
      <c r="H96" s="9" t="s">
        <v>423</v>
      </c>
      <c r="I96" s="9" t="s">
        <v>112</v>
      </c>
      <c r="J96" s="9" t="s">
        <v>286</v>
      </c>
      <c r="K96" s="9" t="s">
        <v>185</v>
      </c>
      <c r="L96" s="9"/>
      <c r="M96" s="9" t="s">
        <v>129</v>
      </c>
      <c r="N96" s="14"/>
      <c r="O96" s="14"/>
      <c r="P96" s="14"/>
      <c r="Q96" s="14"/>
      <c r="R96" s="14"/>
      <c r="S96" s="14">
        <v>16.5</v>
      </c>
      <c r="T96" s="14">
        <v>3</v>
      </c>
      <c r="U96" s="14">
        <v>152.6</v>
      </c>
      <c r="V96" s="14">
        <v>39.8</v>
      </c>
      <c r="W96" s="14" t="s">
        <v>115</v>
      </c>
      <c r="X96" s="14" t="s">
        <v>116</v>
      </c>
      <c r="Y96" s="14" t="s">
        <v>117</v>
      </c>
      <c r="Z96" s="18">
        <v>3</v>
      </c>
      <c r="AA96" s="18">
        <v>3</v>
      </c>
      <c r="AB96" s="14" t="s">
        <v>118</v>
      </c>
      <c r="AC96" s="14">
        <v>125.788133333333</v>
      </c>
      <c r="AD96" s="14">
        <v>34.7884444444444</v>
      </c>
      <c r="AE96" s="9" t="s">
        <v>424</v>
      </c>
      <c r="AF96" s="9"/>
      <c r="AG96" s="9" t="s">
        <v>425</v>
      </c>
      <c r="AH96" s="9" t="s">
        <v>87</v>
      </c>
      <c r="AI96" s="6">
        <v>2014</v>
      </c>
      <c r="AJ96" s="9" t="s">
        <v>152</v>
      </c>
      <c r="AK96" s="7" t="s">
        <v>351</v>
      </c>
      <c r="AL96" s="7" t="s">
        <v>248</v>
      </c>
      <c r="AM96" s="7" t="s">
        <v>190</v>
      </c>
      <c r="AN96" s="22">
        <v>15.2</v>
      </c>
    </row>
    <row r="97" spans="1:40">
      <c r="A97" s="6" cm="1">
        <f t="array" ref="A97">IF(COUNTIF(B$2:B97,B97)&gt;1,INDEX(A$1:A96,MATCH(B97,B$1:B96,0)),MAX(A$1:A96)+1)</f>
        <v>21</v>
      </c>
      <c r="B97" s="7" t="s">
        <v>418</v>
      </c>
      <c r="C97" s="3" t="s">
        <v>419</v>
      </c>
      <c r="D97" s="8" t="s">
        <v>420</v>
      </c>
      <c r="E97" s="7" t="s">
        <v>421</v>
      </c>
      <c r="F97" s="7" t="s">
        <v>422</v>
      </c>
      <c r="G97" s="7" t="s">
        <v>183</v>
      </c>
      <c r="H97" s="7" t="s">
        <v>423</v>
      </c>
      <c r="I97" s="7" t="s">
        <v>112</v>
      </c>
      <c r="J97" s="7" t="s">
        <v>286</v>
      </c>
      <c r="K97" s="7" t="s">
        <v>185</v>
      </c>
      <c r="L97" s="7"/>
      <c r="M97" s="7" t="s">
        <v>129</v>
      </c>
      <c r="N97" s="13"/>
      <c r="O97" s="13"/>
      <c r="P97" s="13"/>
      <c r="Q97" s="13"/>
      <c r="R97" s="13"/>
      <c r="S97" s="13">
        <v>16.5</v>
      </c>
      <c r="T97" s="13">
        <v>3</v>
      </c>
      <c r="U97" s="13">
        <v>152.6</v>
      </c>
      <c r="V97" s="13">
        <v>39.8</v>
      </c>
      <c r="W97" s="13" t="s">
        <v>115</v>
      </c>
      <c r="X97" s="13" t="s">
        <v>116</v>
      </c>
      <c r="Y97" s="13" t="s">
        <v>117</v>
      </c>
      <c r="Z97" s="17">
        <v>3</v>
      </c>
      <c r="AA97" s="17">
        <v>3</v>
      </c>
      <c r="AB97" s="13" t="s">
        <v>118</v>
      </c>
      <c r="AC97" s="13">
        <v>125.788133333333</v>
      </c>
      <c r="AD97" s="13">
        <v>34.7884444444444</v>
      </c>
      <c r="AE97" s="7" t="s">
        <v>424</v>
      </c>
      <c r="AF97" s="7"/>
      <c r="AG97" s="7" t="s">
        <v>425</v>
      </c>
      <c r="AH97" s="7" t="s">
        <v>87</v>
      </c>
      <c r="AI97" s="21">
        <v>2014</v>
      </c>
      <c r="AJ97" s="7" t="s">
        <v>152</v>
      </c>
      <c r="AK97" s="7" t="s">
        <v>351</v>
      </c>
      <c r="AL97" s="7" t="s">
        <v>248</v>
      </c>
      <c r="AM97" s="7" t="s">
        <v>190</v>
      </c>
      <c r="AN97" s="22">
        <v>24.3</v>
      </c>
    </row>
    <row r="98" spans="1:40">
      <c r="A98" s="6" cm="1">
        <f t="array" ref="A98">IF(COUNTIF(B$2:B98,B98)&gt;1,INDEX(A$1:A97,MATCH(B98,B$1:B97,0)),MAX(A$1:A97)+1)</f>
        <v>22</v>
      </c>
      <c r="B98" s="7" t="s">
        <v>426</v>
      </c>
      <c r="C98" s="3" t="s">
        <v>427</v>
      </c>
      <c r="D98" s="8" t="s">
        <v>428</v>
      </c>
      <c r="E98" s="7" t="s">
        <v>429</v>
      </c>
      <c r="F98" s="7" t="s">
        <v>430</v>
      </c>
      <c r="G98" s="7" t="s">
        <v>217</v>
      </c>
      <c r="H98" s="7" t="s">
        <v>431</v>
      </c>
      <c r="I98" s="7" t="s">
        <v>78</v>
      </c>
      <c r="J98" s="7" t="s">
        <v>79</v>
      </c>
      <c r="K98" s="7" t="s">
        <v>80</v>
      </c>
      <c r="L98" s="7"/>
      <c r="M98" s="9" t="s">
        <v>115</v>
      </c>
      <c r="N98" s="15">
        <v>4000</v>
      </c>
      <c r="O98" s="13">
        <v>430</v>
      </c>
      <c r="P98" s="13">
        <v>620</v>
      </c>
      <c r="Q98" s="13">
        <v>32</v>
      </c>
      <c r="R98" s="13">
        <v>40</v>
      </c>
      <c r="S98" s="13">
        <v>32</v>
      </c>
      <c r="T98" s="13">
        <v>8.5</v>
      </c>
      <c r="U98" s="13">
        <v>280.2</v>
      </c>
      <c r="V98" s="13">
        <v>403.3</v>
      </c>
      <c r="W98" s="13" t="s">
        <v>115</v>
      </c>
      <c r="X98" s="13" t="s">
        <v>205</v>
      </c>
      <c r="Y98" s="13" t="s">
        <v>172</v>
      </c>
      <c r="Z98" s="17">
        <v>3</v>
      </c>
      <c r="AA98" s="17">
        <v>1</v>
      </c>
      <c r="AB98" s="13" t="s">
        <v>219</v>
      </c>
      <c r="AC98" s="13">
        <v>-120.66</v>
      </c>
      <c r="AD98" s="13">
        <v>35.303</v>
      </c>
      <c r="AE98" s="7" t="s">
        <v>432</v>
      </c>
      <c r="AF98" s="7"/>
      <c r="AG98" s="7" t="s">
        <v>121</v>
      </c>
      <c r="AH98" s="9" t="s">
        <v>96</v>
      </c>
      <c r="AI98" s="21"/>
      <c r="AJ98" s="9" t="s">
        <v>152</v>
      </c>
      <c r="AK98" s="7" t="s">
        <v>89</v>
      </c>
      <c r="AL98" s="7" t="s">
        <v>90</v>
      </c>
      <c r="AM98" s="7" t="s">
        <v>433</v>
      </c>
      <c r="AN98" s="22">
        <v>6</v>
      </c>
    </row>
    <row r="99" spans="1:40">
      <c r="A99" s="6" cm="1">
        <f t="array" ref="A99">IF(COUNTIF(B$2:B99,B99)&gt;1,INDEX(A$1:A98,MATCH(B99,B$1:B98,0)),MAX(A$1:A98)+1)</f>
        <v>22</v>
      </c>
      <c r="B99" s="9" t="s">
        <v>426</v>
      </c>
      <c r="C99" s="10" t="s">
        <v>427</v>
      </c>
      <c r="D99" s="11" t="s">
        <v>434</v>
      </c>
      <c r="E99" s="9" t="s">
        <v>201</v>
      </c>
      <c r="F99" s="9" t="s">
        <v>435</v>
      </c>
      <c r="G99" s="9" t="s">
        <v>217</v>
      </c>
      <c r="H99" s="9" t="s">
        <v>218</v>
      </c>
      <c r="I99" s="9" t="s">
        <v>112</v>
      </c>
      <c r="J99" s="9" t="s">
        <v>79</v>
      </c>
      <c r="K99" s="9" t="s">
        <v>80</v>
      </c>
      <c r="L99" s="9"/>
      <c r="M99" s="9" t="s">
        <v>115</v>
      </c>
      <c r="N99" s="12">
        <v>4000</v>
      </c>
      <c r="O99" s="14">
        <v>1300</v>
      </c>
      <c r="P99" s="14">
        <v>1450</v>
      </c>
      <c r="Q99" s="14">
        <v>45.7</v>
      </c>
      <c r="R99" s="14">
        <v>63.5</v>
      </c>
      <c r="S99" s="14">
        <v>44.7</v>
      </c>
      <c r="T99" s="14">
        <v>17.8</v>
      </c>
      <c r="U99" s="14">
        <v>371.2</v>
      </c>
      <c r="V99" s="14">
        <v>1354.5</v>
      </c>
      <c r="W99" s="14" t="s">
        <v>115</v>
      </c>
      <c r="X99" s="14" t="s">
        <v>205</v>
      </c>
      <c r="Y99" s="14" t="s">
        <v>83</v>
      </c>
      <c r="Z99" s="18">
        <v>2</v>
      </c>
      <c r="AA99" s="18">
        <v>1</v>
      </c>
      <c r="AB99" s="14" t="s">
        <v>219</v>
      </c>
      <c r="AC99" s="14">
        <v>-120.66</v>
      </c>
      <c r="AD99" s="14">
        <v>35.303</v>
      </c>
      <c r="AE99" s="9" t="s">
        <v>432</v>
      </c>
      <c r="AF99" s="9"/>
      <c r="AG99" s="9" t="s">
        <v>121</v>
      </c>
      <c r="AH99" s="9" t="s">
        <v>96</v>
      </c>
      <c r="AI99" s="6"/>
      <c r="AJ99" s="9" t="s">
        <v>152</v>
      </c>
      <c r="AK99" s="7" t="s">
        <v>89</v>
      </c>
      <c r="AL99" s="7" t="s">
        <v>90</v>
      </c>
      <c r="AM99" s="7" t="s">
        <v>433</v>
      </c>
      <c r="AN99" s="22">
        <v>18.5</v>
      </c>
    </row>
    <row r="100" spans="1:40">
      <c r="A100" s="6" cm="1">
        <f t="array" ref="A100">IF(COUNTIF(B$2:B100,B100)&gt;1,INDEX(A$1:A99,MATCH(B100,B$1:B99,0)),MAX(A$1:A99)+1)</f>
        <v>22</v>
      </c>
      <c r="B100" s="7" t="s">
        <v>426</v>
      </c>
      <c r="C100" s="3" t="s">
        <v>427</v>
      </c>
      <c r="D100" s="8" t="s">
        <v>200</v>
      </c>
      <c r="E100" s="7" t="s">
        <v>201</v>
      </c>
      <c r="F100" s="7" t="s">
        <v>202</v>
      </c>
      <c r="G100" s="7" t="s">
        <v>203</v>
      </c>
      <c r="H100" s="7" t="s">
        <v>204</v>
      </c>
      <c r="I100" s="7" t="s">
        <v>112</v>
      </c>
      <c r="J100" s="7" t="s">
        <v>79</v>
      </c>
      <c r="K100" s="7" t="s">
        <v>80</v>
      </c>
      <c r="L100" s="7"/>
      <c r="M100" s="7" t="s">
        <v>115</v>
      </c>
      <c r="N100" s="15">
        <v>2500</v>
      </c>
      <c r="O100" s="13">
        <v>550</v>
      </c>
      <c r="P100" s="13">
        <v>700</v>
      </c>
      <c r="Q100" s="13">
        <v>43</v>
      </c>
      <c r="R100" s="13">
        <v>61</v>
      </c>
      <c r="S100" s="13">
        <v>33.1</v>
      </c>
      <c r="T100" s="13">
        <v>11.8</v>
      </c>
      <c r="U100" s="13">
        <v>319</v>
      </c>
      <c r="V100" s="13">
        <v>603.7</v>
      </c>
      <c r="W100" s="13" t="s">
        <v>115</v>
      </c>
      <c r="X100" s="13" t="s">
        <v>205</v>
      </c>
      <c r="Y100" s="13" t="s">
        <v>206</v>
      </c>
      <c r="Z100" s="17">
        <v>1</v>
      </c>
      <c r="AA100" s="17">
        <v>3</v>
      </c>
      <c r="AB100" s="13" t="s">
        <v>118</v>
      </c>
      <c r="AC100" s="13">
        <v>-120.66</v>
      </c>
      <c r="AD100" s="13">
        <v>35.303</v>
      </c>
      <c r="AE100" s="7" t="s">
        <v>432</v>
      </c>
      <c r="AF100" s="7"/>
      <c r="AG100" s="7" t="s">
        <v>121</v>
      </c>
      <c r="AH100" s="9" t="s">
        <v>96</v>
      </c>
      <c r="AI100" s="21"/>
      <c r="AJ100" s="9" t="s">
        <v>152</v>
      </c>
      <c r="AK100" s="7" t="s">
        <v>89</v>
      </c>
      <c r="AL100" s="7" t="s">
        <v>90</v>
      </c>
      <c r="AM100" s="7" t="s">
        <v>433</v>
      </c>
      <c r="AN100" s="22">
        <v>14</v>
      </c>
    </row>
    <row r="101" spans="1:40">
      <c r="A101" s="6" cm="1">
        <f t="array" ref="A101">IF(COUNTIF(B$2:B101,B101)&gt;1,INDEX(A$1:A100,MATCH(B101,B$1:B100,0)),MAX(A$1:A100)+1)</f>
        <v>22</v>
      </c>
      <c r="B101" s="7" t="s">
        <v>426</v>
      </c>
      <c r="C101" s="3" t="s">
        <v>427</v>
      </c>
      <c r="D101" s="8" t="s">
        <v>225</v>
      </c>
      <c r="E101" s="7" t="s">
        <v>201</v>
      </c>
      <c r="F101" s="7" t="s">
        <v>226</v>
      </c>
      <c r="G101" s="7" t="s">
        <v>203</v>
      </c>
      <c r="H101" s="7" t="s">
        <v>204</v>
      </c>
      <c r="I101" s="7" t="s">
        <v>112</v>
      </c>
      <c r="J101" s="7" t="s">
        <v>79</v>
      </c>
      <c r="K101" s="7" t="s">
        <v>80</v>
      </c>
      <c r="L101" s="7"/>
      <c r="M101" s="7" t="s">
        <v>115</v>
      </c>
      <c r="N101" s="15">
        <v>3200</v>
      </c>
      <c r="O101" s="13">
        <v>795</v>
      </c>
      <c r="P101" s="13">
        <v>1224</v>
      </c>
      <c r="Q101" s="13">
        <v>45</v>
      </c>
      <c r="R101" s="13">
        <v>65</v>
      </c>
      <c r="S101" s="13">
        <v>37.6</v>
      </c>
      <c r="T101" s="13">
        <v>14.4</v>
      </c>
      <c r="U101" s="13">
        <v>402.8</v>
      </c>
      <c r="V101" s="13">
        <v>1101.2</v>
      </c>
      <c r="W101" s="13" t="s">
        <v>115</v>
      </c>
      <c r="X101" s="13" t="s">
        <v>205</v>
      </c>
      <c r="Y101" s="13" t="s">
        <v>206</v>
      </c>
      <c r="Z101" s="17">
        <v>2</v>
      </c>
      <c r="AA101" s="17">
        <v>3</v>
      </c>
      <c r="AB101" s="13" t="s">
        <v>219</v>
      </c>
      <c r="AC101" s="13">
        <v>-120.66</v>
      </c>
      <c r="AD101" s="13">
        <v>35.303</v>
      </c>
      <c r="AE101" s="7" t="s">
        <v>432</v>
      </c>
      <c r="AF101" s="7"/>
      <c r="AG101" s="7" t="s">
        <v>121</v>
      </c>
      <c r="AH101" s="9" t="s">
        <v>96</v>
      </c>
      <c r="AI101" s="21"/>
      <c r="AJ101" s="9" t="s">
        <v>152</v>
      </c>
      <c r="AK101" s="7" t="s">
        <v>89</v>
      </c>
      <c r="AL101" s="7" t="s">
        <v>90</v>
      </c>
      <c r="AM101" s="7" t="s">
        <v>433</v>
      </c>
      <c r="AN101" s="22">
        <v>8</v>
      </c>
    </row>
    <row r="102" spans="1:40">
      <c r="A102" s="6" cm="1">
        <f t="array" ref="A102">IF(COUNTIF(B$2:B102,B102)&gt;1,INDEX(A$1:A101,MATCH(B102,B$1:B101,0)),MAX(A$1:A101)+1)</f>
        <v>23</v>
      </c>
      <c r="B102" s="9" t="s">
        <v>436</v>
      </c>
      <c r="C102" s="10" t="s">
        <v>437</v>
      </c>
      <c r="D102" s="11" t="s">
        <v>438</v>
      </c>
      <c r="E102" s="9" t="s">
        <v>439</v>
      </c>
      <c r="F102" s="9" t="s">
        <v>440</v>
      </c>
      <c r="G102" s="9" t="s">
        <v>183</v>
      </c>
      <c r="H102" s="9" t="s">
        <v>184</v>
      </c>
      <c r="I102" s="9" t="s">
        <v>112</v>
      </c>
      <c r="J102" s="9" t="s">
        <v>79</v>
      </c>
      <c r="K102" s="9" t="s">
        <v>185</v>
      </c>
      <c r="L102" s="9" t="s">
        <v>441</v>
      </c>
      <c r="M102" s="9" t="s">
        <v>129</v>
      </c>
      <c r="N102" s="12"/>
      <c r="O102" s="14"/>
      <c r="P102" s="14"/>
      <c r="Q102" s="14"/>
      <c r="R102" s="14"/>
      <c r="S102" s="14">
        <v>21.6</v>
      </c>
      <c r="T102" s="14">
        <v>4.8</v>
      </c>
      <c r="U102" s="14">
        <v>203.2</v>
      </c>
      <c r="V102" s="14">
        <v>99</v>
      </c>
      <c r="W102" s="14" t="s">
        <v>115</v>
      </c>
      <c r="X102" s="14" t="s">
        <v>116</v>
      </c>
      <c r="Y102" s="14" t="s">
        <v>117</v>
      </c>
      <c r="Z102" s="18">
        <v>3</v>
      </c>
      <c r="AA102" s="18">
        <v>2</v>
      </c>
      <c r="AB102" s="14" t="s">
        <v>136</v>
      </c>
      <c r="AC102" s="14">
        <v>-24.5891666666666</v>
      </c>
      <c r="AD102" s="14">
        <v>16.6163888888888</v>
      </c>
      <c r="AE102" s="9" t="s">
        <v>442</v>
      </c>
      <c r="AF102" s="9" t="s">
        <v>443</v>
      </c>
      <c r="AG102" s="9"/>
      <c r="AH102" s="9" t="s">
        <v>444</v>
      </c>
      <c r="AI102" s="6">
        <v>2021</v>
      </c>
      <c r="AJ102" s="9" t="s">
        <v>240</v>
      </c>
      <c r="AK102" s="9" t="s">
        <v>89</v>
      </c>
      <c r="AL102" s="7" t="s">
        <v>90</v>
      </c>
      <c r="AM102" s="9" t="s">
        <v>445</v>
      </c>
      <c r="AN102" s="22">
        <v>0.5</v>
      </c>
    </row>
    <row r="103" spans="1:40">
      <c r="A103" s="6" cm="1">
        <f t="array" ref="A103">IF(COUNTIF(B$2:B103,B103)&gt;1,INDEX(A$1:A102,MATCH(B103,B$1:B102,0)),MAX(A$1:A102)+1)</f>
        <v>23</v>
      </c>
      <c r="B103" s="7" t="s">
        <v>436</v>
      </c>
      <c r="C103" s="3" t="s">
        <v>437</v>
      </c>
      <c r="D103" s="8" t="s">
        <v>446</v>
      </c>
      <c r="E103" s="7" t="s">
        <v>447</v>
      </c>
      <c r="F103" s="7" t="s">
        <v>448</v>
      </c>
      <c r="G103" s="7" t="s">
        <v>183</v>
      </c>
      <c r="H103" s="7" t="s">
        <v>184</v>
      </c>
      <c r="I103" s="7" t="s">
        <v>112</v>
      </c>
      <c r="J103" s="7" t="s">
        <v>79</v>
      </c>
      <c r="K103" s="7" t="s">
        <v>185</v>
      </c>
      <c r="L103" s="7" t="s">
        <v>449</v>
      </c>
      <c r="M103" s="7" t="s">
        <v>129</v>
      </c>
      <c r="N103" s="15"/>
      <c r="O103" s="13"/>
      <c r="P103" s="13"/>
      <c r="Q103" s="13"/>
      <c r="R103" s="13"/>
      <c r="S103" s="13">
        <v>31</v>
      </c>
      <c r="T103" s="13">
        <v>4.9</v>
      </c>
      <c r="U103" s="13">
        <v>185.3</v>
      </c>
      <c r="V103" s="13">
        <v>192.8</v>
      </c>
      <c r="W103" s="13" t="s">
        <v>115</v>
      </c>
      <c r="X103" s="13" t="s">
        <v>116</v>
      </c>
      <c r="Y103" s="13" t="s">
        <v>117</v>
      </c>
      <c r="Z103" s="17">
        <v>3</v>
      </c>
      <c r="AA103" s="17">
        <v>2</v>
      </c>
      <c r="AB103" s="13" t="s">
        <v>136</v>
      </c>
      <c r="AC103" s="13">
        <v>-24.5891666666666</v>
      </c>
      <c r="AD103" s="13">
        <v>16.6163888888888</v>
      </c>
      <c r="AE103" s="7" t="s">
        <v>442</v>
      </c>
      <c r="AF103" s="9" t="s">
        <v>443</v>
      </c>
      <c r="AG103" s="9"/>
      <c r="AH103" s="9" t="s">
        <v>444</v>
      </c>
      <c r="AI103" s="21">
        <v>2021</v>
      </c>
      <c r="AJ103" s="9" t="s">
        <v>240</v>
      </c>
      <c r="AK103" s="9" t="s">
        <v>89</v>
      </c>
      <c r="AL103" s="7" t="s">
        <v>90</v>
      </c>
      <c r="AM103" s="9" t="s">
        <v>445</v>
      </c>
      <c r="AN103" s="22">
        <v>0.5</v>
      </c>
    </row>
    <row r="104" spans="1:40">
      <c r="A104" s="6" cm="1">
        <f t="array" ref="A104">IF(COUNTIF(B$2:B104,B104)&gt;1,INDEX(A$1:A103,MATCH(B104,B$1:B103,0)),MAX(A$1:A103)+1)</f>
        <v>23</v>
      </c>
      <c r="B104" s="9" t="s">
        <v>436</v>
      </c>
      <c r="C104" s="10" t="s">
        <v>437</v>
      </c>
      <c r="D104" s="11" t="s">
        <v>450</v>
      </c>
      <c r="E104" s="9" t="s">
        <v>451</v>
      </c>
      <c r="F104" s="9" t="s">
        <v>452</v>
      </c>
      <c r="G104" s="9" t="s">
        <v>183</v>
      </c>
      <c r="H104" s="9" t="s">
        <v>184</v>
      </c>
      <c r="I104" s="9" t="s">
        <v>112</v>
      </c>
      <c r="J104" s="9" t="s">
        <v>286</v>
      </c>
      <c r="K104" s="9" t="s">
        <v>185</v>
      </c>
      <c r="L104" s="9" t="s">
        <v>413</v>
      </c>
      <c r="M104" s="9" t="s">
        <v>129</v>
      </c>
      <c r="N104" s="12"/>
      <c r="O104" s="14"/>
      <c r="P104" s="14"/>
      <c r="Q104" s="14"/>
      <c r="R104" s="14"/>
      <c r="S104" s="14">
        <v>42.8</v>
      </c>
      <c r="T104" s="14">
        <v>8.2</v>
      </c>
      <c r="U104" s="14">
        <v>309</v>
      </c>
      <c r="V104" s="14">
        <v>535</v>
      </c>
      <c r="W104" s="14" t="s">
        <v>115</v>
      </c>
      <c r="X104" s="14" t="s">
        <v>116</v>
      </c>
      <c r="Y104" s="14" t="s">
        <v>117</v>
      </c>
      <c r="Z104" s="18">
        <v>3</v>
      </c>
      <c r="AA104" s="18">
        <v>3</v>
      </c>
      <c r="AB104" s="14" t="s">
        <v>118</v>
      </c>
      <c r="AC104" s="14">
        <v>-24.5891666666666</v>
      </c>
      <c r="AD104" s="14">
        <v>16.6163888888888</v>
      </c>
      <c r="AE104" s="9" t="s">
        <v>442</v>
      </c>
      <c r="AF104" s="9" t="s">
        <v>443</v>
      </c>
      <c r="AG104" s="9"/>
      <c r="AH104" s="9" t="s">
        <v>444</v>
      </c>
      <c r="AI104" s="6">
        <v>2021</v>
      </c>
      <c r="AJ104" s="9" t="s">
        <v>240</v>
      </c>
      <c r="AK104" s="9" t="s">
        <v>89</v>
      </c>
      <c r="AL104" s="7" t="s">
        <v>90</v>
      </c>
      <c r="AM104" s="9" t="s">
        <v>445</v>
      </c>
      <c r="AN104" s="22">
        <v>1.1</v>
      </c>
    </row>
    <row r="105" spans="1:40">
      <c r="A105" s="6" cm="1">
        <f t="array" ref="A105">IF(COUNTIF(B$2:B105,B105)&gt;1,INDEX(A$1:A104,MATCH(B105,B$1:B104,0)),MAX(A$1:A104)+1)</f>
        <v>23</v>
      </c>
      <c r="B105" s="7" t="s">
        <v>436</v>
      </c>
      <c r="C105" s="3" t="s">
        <v>437</v>
      </c>
      <c r="D105" s="8" t="s">
        <v>453</v>
      </c>
      <c r="E105" s="7" t="s">
        <v>108</v>
      </c>
      <c r="F105" s="7" t="s">
        <v>454</v>
      </c>
      <c r="G105" s="7" t="s">
        <v>455</v>
      </c>
      <c r="H105" s="7" t="s">
        <v>456</v>
      </c>
      <c r="I105" s="7" t="s">
        <v>78</v>
      </c>
      <c r="J105" s="7" t="s">
        <v>79</v>
      </c>
      <c r="K105" s="7" t="s">
        <v>185</v>
      </c>
      <c r="L105" s="7" t="s">
        <v>413</v>
      </c>
      <c r="M105" s="7" t="s">
        <v>129</v>
      </c>
      <c r="N105" s="15"/>
      <c r="O105" s="13"/>
      <c r="P105" s="13"/>
      <c r="Q105" s="13"/>
      <c r="R105" s="13"/>
      <c r="S105" s="13">
        <v>66.4</v>
      </c>
      <c r="T105" s="13">
        <v>8.8</v>
      </c>
      <c r="U105" s="13">
        <v>309.2</v>
      </c>
      <c r="V105" s="13">
        <v>750</v>
      </c>
      <c r="W105" s="13" t="s">
        <v>115</v>
      </c>
      <c r="X105" s="13" t="s">
        <v>116</v>
      </c>
      <c r="Y105" s="13" t="s">
        <v>117</v>
      </c>
      <c r="Z105" s="17">
        <v>3</v>
      </c>
      <c r="AA105" s="17">
        <v>3</v>
      </c>
      <c r="AB105" s="13" t="s">
        <v>118</v>
      </c>
      <c r="AC105" s="13">
        <v>-24.5891666666666</v>
      </c>
      <c r="AD105" s="13">
        <v>16.6163888888888</v>
      </c>
      <c r="AE105" s="7" t="s">
        <v>442</v>
      </c>
      <c r="AF105" s="9" t="s">
        <v>443</v>
      </c>
      <c r="AG105" s="9"/>
      <c r="AH105" s="9" t="s">
        <v>444</v>
      </c>
      <c r="AI105" s="21">
        <v>2021</v>
      </c>
      <c r="AJ105" s="9" t="s">
        <v>240</v>
      </c>
      <c r="AK105" s="9" t="s">
        <v>89</v>
      </c>
      <c r="AL105" s="7" t="s">
        <v>90</v>
      </c>
      <c r="AM105" s="9" t="s">
        <v>445</v>
      </c>
      <c r="AN105" s="22">
        <v>1.5</v>
      </c>
    </row>
    <row r="106" spans="1:40">
      <c r="A106" s="6" cm="1">
        <f t="array" ref="A106">IF(COUNTIF(B$2:B106,B106)&gt;1,INDEX(A$1:A105,MATCH(B106,B$1:B105,0)),MAX(A$1:A105)+1)</f>
        <v>23</v>
      </c>
      <c r="B106" s="9" t="s">
        <v>436</v>
      </c>
      <c r="C106" s="10" t="s">
        <v>437</v>
      </c>
      <c r="D106" s="11" t="s">
        <v>457</v>
      </c>
      <c r="E106" s="9" t="s">
        <v>138</v>
      </c>
      <c r="F106" s="9" t="s">
        <v>458</v>
      </c>
      <c r="G106" s="9" t="s">
        <v>134</v>
      </c>
      <c r="H106" s="9" t="s">
        <v>319</v>
      </c>
      <c r="I106" s="9" t="s">
        <v>78</v>
      </c>
      <c r="J106" s="9" t="s">
        <v>79</v>
      </c>
      <c r="K106" s="9" t="s">
        <v>185</v>
      </c>
      <c r="L106" s="9" t="s">
        <v>413</v>
      </c>
      <c r="M106" s="9" t="s">
        <v>129</v>
      </c>
      <c r="N106" s="12">
        <v>100</v>
      </c>
      <c r="O106" s="14">
        <v>950</v>
      </c>
      <c r="P106" s="14">
        <v>1800</v>
      </c>
      <c r="Q106" s="14">
        <v>64</v>
      </c>
      <c r="R106" s="14">
        <v>85</v>
      </c>
      <c r="S106" s="14">
        <v>100.9</v>
      </c>
      <c r="T106" s="14">
        <v>20.5</v>
      </c>
      <c r="U106" s="14">
        <v>388.6</v>
      </c>
      <c r="V106" s="14">
        <v>1288.8</v>
      </c>
      <c r="W106" s="14" t="s">
        <v>115</v>
      </c>
      <c r="X106" s="14" t="s">
        <v>116</v>
      </c>
      <c r="Y106" s="14" t="s">
        <v>117</v>
      </c>
      <c r="Z106" s="18">
        <v>3</v>
      </c>
      <c r="AA106" s="18">
        <v>2</v>
      </c>
      <c r="AB106" s="14" t="s">
        <v>118</v>
      </c>
      <c r="AC106" s="14">
        <v>-24.5891666666666</v>
      </c>
      <c r="AD106" s="14">
        <v>16.6163888888888</v>
      </c>
      <c r="AE106" s="9" t="s">
        <v>442</v>
      </c>
      <c r="AF106" s="9" t="s">
        <v>443</v>
      </c>
      <c r="AG106" s="9"/>
      <c r="AH106" s="9" t="s">
        <v>444</v>
      </c>
      <c r="AI106" s="6">
        <v>2021</v>
      </c>
      <c r="AJ106" s="9" t="s">
        <v>240</v>
      </c>
      <c r="AK106" s="9" t="s">
        <v>89</v>
      </c>
      <c r="AL106" s="7" t="s">
        <v>90</v>
      </c>
      <c r="AM106" s="9" t="s">
        <v>445</v>
      </c>
      <c r="AN106" s="22">
        <v>1.5</v>
      </c>
    </row>
    <row r="107" spans="1:40">
      <c r="A107" s="6" cm="1">
        <f t="array" ref="A107">IF(COUNTIF(B$2:B107,B107)&gt;1,INDEX(A$1:A106,MATCH(B107,B$1:B106,0)),MAX(A$1:A106)+1)</f>
        <v>24</v>
      </c>
      <c r="B107" s="7" t="s">
        <v>459</v>
      </c>
      <c r="C107" s="3" t="s">
        <v>460</v>
      </c>
      <c r="D107" s="8" t="s">
        <v>461</v>
      </c>
      <c r="E107" s="7" t="s">
        <v>108</v>
      </c>
      <c r="F107" s="7" t="s">
        <v>462</v>
      </c>
      <c r="G107" s="7" t="s">
        <v>158</v>
      </c>
      <c r="H107" s="7" t="s">
        <v>159</v>
      </c>
      <c r="I107" s="7" t="s">
        <v>112</v>
      </c>
      <c r="J107" s="7" t="s">
        <v>322</v>
      </c>
      <c r="K107" s="7" t="s">
        <v>113</v>
      </c>
      <c r="L107" s="7" t="s">
        <v>463</v>
      </c>
      <c r="M107" s="9" t="s">
        <v>115</v>
      </c>
      <c r="N107" s="15"/>
      <c r="O107" s="13"/>
      <c r="P107" s="13"/>
      <c r="Q107" s="13"/>
      <c r="R107" s="13"/>
      <c r="S107" s="13">
        <v>49.9</v>
      </c>
      <c r="T107" s="13">
        <v>26.4</v>
      </c>
      <c r="U107" s="13">
        <v>259.2</v>
      </c>
      <c r="V107" s="13">
        <v>1800.2</v>
      </c>
      <c r="W107" s="13" t="s">
        <v>115</v>
      </c>
      <c r="X107" s="13" t="s">
        <v>116</v>
      </c>
      <c r="Y107" s="13" t="s">
        <v>149</v>
      </c>
      <c r="Z107" s="17">
        <v>3</v>
      </c>
      <c r="AA107" s="17">
        <v>3</v>
      </c>
      <c r="AB107" s="13" t="s">
        <v>136</v>
      </c>
      <c r="AC107" s="13">
        <v>21.0839638888888</v>
      </c>
      <c r="AD107" s="13">
        <v>55.7124166666666</v>
      </c>
      <c r="AE107" s="7" t="s">
        <v>464</v>
      </c>
      <c r="AF107" s="7" t="s">
        <v>465</v>
      </c>
      <c r="AG107" s="7" t="s">
        <v>466</v>
      </c>
      <c r="AH107" s="9" t="s">
        <v>247</v>
      </c>
      <c r="AI107" s="21" t="s">
        <v>467</v>
      </c>
      <c r="AJ107" s="7" t="s">
        <v>152</v>
      </c>
      <c r="AK107" s="7" t="s">
        <v>97</v>
      </c>
      <c r="AL107" s="7" t="s">
        <v>98</v>
      </c>
      <c r="AM107" s="7" t="s">
        <v>468</v>
      </c>
      <c r="AN107" s="22">
        <v>0</v>
      </c>
    </row>
    <row r="108" spans="1:40">
      <c r="A108" s="6" cm="1">
        <f t="array" ref="A108">IF(COUNTIF(B$2:B108,B108)&gt;1,INDEX(A$1:A107,MATCH(B108,B$1:B107,0)),MAX(A$1:A107)+1)</f>
        <v>24</v>
      </c>
      <c r="B108" s="9" t="s">
        <v>459</v>
      </c>
      <c r="C108" s="10" t="s">
        <v>460</v>
      </c>
      <c r="D108" s="11" t="s">
        <v>469</v>
      </c>
      <c r="E108" s="9" t="s">
        <v>108</v>
      </c>
      <c r="F108" s="11" t="s">
        <v>470</v>
      </c>
      <c r="G108" s="9" t="s">
        <v>158</v>
      </c>
      <c r="H108" s="9" t="s">
        <v>159</v>
      </c>
      <c r="I108" s="9" t="s">
        <v>112</v>
      </c>
      <c r="J108" s="9" t="s">
        <v>79</v>
      </c>
      <c r="K108" s="9" t="s">
        <v>113</v>
      </c>
      <c r="L108" s="9" t="s">
        <v>398</v>
      </c>
      <c r="M108" s="9" t="s">
        <v>115</v>
      </c>
      <c r="N108" s="12"/>
      <c r="O108" s="14">
        <v>862</v>
      </c>
      <c r="P108" s="14">
        <v>1270</v>
      </c>
      <c r="Q108" s="14">
        <v>43</v>
      </c>
      <c r="R108" s="14">
        <v>53</v>
      </c>
      <c r="S108" s="14">
        <v>48.7</v>
      </c>
      <c r="T108" s="14">
        <v>20.8</v>
      </c>
      <c r="U108" s="14">
        <v>221.1</v>
      </c>
      <c r="V108" s="14">
        <v>1050</v>
      </c>
      <c r="W108" s="14" t="s">
        <v>115</v>
      </c>
      <c r="X108" s="14" t="s">
        <v>116</v>
      </c>
      <c r="Y108" s="14" t="s">
        <v>149</v>
      </c>
      <c r="Z108" s="18">
        <v>3</v>
      </c>
      <c r="AA108" s="18">
        <v>3</v>
      </c>
      <c r="AB108" s="14" t="s">
        <v>136</v>
      </c>
      <c r="AC108" s="14">
        <v>21.0839638888888</v>
      </c>
      <c r="AD108" s="14">
        <v>55.7124166666666</v>
      </c>
      <c r="AE108" s="9" t="s">
        <v>464</v>
      </c>
      <c r="AF108" s="7" t="s">
        <v>465</v>
      </c>
      <c r="AG108" s="7" t="s">
        <v>466</v>
      </c>
      <c r="AH108" s="9" t="s">
        <v>247</v>
      </c>
      <c r="AI108" s="6" t="s">
        <v>467</v>
      </c>
      <c r="AJ108" s="7" t="s">
        <v>152</v>
      </c>
      <c r="AK108" s="7" t="s">
        <v>97</v>
      </c>
      <c r="AL108" s="7" t="s">
        <v>98</v>
      </c>
      <c r="AM108" s="7" t="s">
        <v>468</v>
      </c>
      <c r="AN108" s="22">
        <v>0</v>
      </c>
    </row>
    <row r="109" spans="1:40">
      <c r="A109" s="6" cm="1">
        <f t="array" ref="A109">IF(COUNTIF(B$2:B109,B109)&gt;1,INDEX(A$1:A108,MATCH(B109,B$1:B108,0)),MAX(A$1:A108)+1)</f>
        <v>24</v>
      </c>
      <c r="B109" s="7" t="s">
        <v>459</v>
      </c>
      <c r="C109" s="3" t="s">
        <v>460</v>
      </c>
      <c r="D109" s="8" t="s">
        <v>471</v>
      </c>
      <c r="E109" s="7" t="s">
        <v>108</v>
      </c>
      <c r="F109" s="7" t="s">
        <v>472</v>
      </c>
      <c r="G109" s="7" t="s">
        <v>158</v>
      </c>
      <c r="H109" s="7" t="s">
        <v>159</v>
      </c>
      <c r="I109" s="7" t="s">
        <v>112</v>
      </c>
      <c r="J109" s="7" t="s">
        <v>322</v>
      </c>
      <c r="K109" s="7" t="s">
        <v>113</v>
      </c>
      <c r="L109" s="7" t="s">
        <v>473</v>
      </c>
      <c r="M109" s="7" t="s">
        <v>115</v>
      </c>
      <c r="N109" s="15"/>
      <c r="O109" s="13">
        <v>680</v>
      </c>
      <c r="P109" s="13">
        <v>1130</v>
      </c>
      <c r="Q109" s="13">
        <v>38.1</v>
      </c>
      <c r="R109" s="13">
        <v>58.4</v>
      </c>
      <c r="S109" s="13">
        <v>32.1</v>
      </c>
      <c r="T109" s="13">
        <v>16</v>
      </c>
      <c r="U109" s="13">
        <v>215.6</v>
      </c>
      <c r="V109" s="13">
        <v>871</v>
      </c>
      <c r="W109" s="13" t="s">
        <v>115</v>
      </c>
      <c r="X109" s="13" t="s">
        <v>116</v>
      </c>
      <c r="Y109" s="13" t="s">
        <v>149</v>
      </c>
      <c r="Z109" s="17">
        <v>3</v>
      </c>
      <c r="AA109" s="17">
        <v>3</v>
      </c>
      <c r="AB109" s="13" t="s">
        <v>136</v>
      </c>
      <c r="AC109" s="13">
        <v>21.0839638888888</v>
      </c>
      <c r="AD109" s="13">
        <v>55.7124166666666</v>
      </c>
      <c r="AE109" s="7" t="s">
        <v>464</v>
      </c>
      <c r="AF109" s="7" t="s">
        <v>465</v>
      </c>
      <c r="AG109" s="7" t="s">
        <v>466</v>
      </c>
      <c r="AH109" s="9" t="s">
        <v>247</v>
      </c>
      <c r="AI109" s="21" t="s">
        <v>467</v>
      </c>
      <c r="AJ109" s="7" t="s">
        <v>152</v>
      </c>
      <c r="AK109" s="7" t="s">
        <v>97</v>
      </c>
      <c r="AL109" s="7" t="s">
        <v>98</v>
      </c>
      <c r="AM109" s="7" t="s">
        <v>468</v>
      </c>
      <c r="AN109" s="22">
        <v>0.144</v>
      </c>
    </row>
    <row r="110" spans="1:40">
      <c r="A110" s="6" cm="1">
        <f t="array" ref="A110">IF(COUNTIF(B$2:B110,B110)&gt;1,INDEX(A$1:A109,MATCH(B110,B$1:B109,0)),MAX(A$1:A109)+1)</f>
        <v>24</v>
      </c>
      <c r="B110" s="9" t="s">
        <v>459</v>
      </c>
      <c r="C110" s="10" t="s">
        <v>460</v>
      </c>
      <c r="D110" s="11" t="s">
        <v>474</v>
      </c>
      <c r="E110" s="9" t="s">
        <v>311</v>
      </c>
      <c r="F110" s="9" t="s">
        <v>475</v>
      </c>
      <c r="G110" s="9" t="s">
        <v>405</v>
      </c>
      <c r="H110" s="9" t="s">
        <v>406</v>
      </c>
      <c r="I110" s="9" t="s">
        <v>112</v>
      </c>
      <c r="J110" s="9" t="s">
        <v>79</v>
      </c>
      <c r="K110" s="9" t="s">
        <v>113</v>
      </c>
      <c r="L110" s="9" t="s">
        <v>476</v>
      </c>
      <c r="M110" s="9" t="s">
        <v>129</v>
      </c>
      <c r="N110" s="12">
        <v>500</v>
      </c>
      <c r="O110" s="14"/>
      <c r="P110" s="14">
        <v>1816</v>
      </c>
      <c r="Q110" s="14"/>
      <c r="R110" s="14"/>
      <c r="S110" s="14">
        <v>63.1</v>
      </c>
      <c r="T110" s="14">
        <v>7.5</v>
      </c>
      <c r="U110" s="14">
        <v>275.4</v>
      </c>
      <c r="V110" s="14">
        <v>1486</v>
      </c>
      <c r="W110" s="14" t="s">
        <v>115</v>
      </c>
      <c r="X110" s="14" t="s">
        <v>116</v>
      </c>
      <c r="Y110" s="14" t="s">
        <v>149</v>
      </c>
      <c r="Z110" s="18">
        <v>3</v>
      </c>
      <c r="AA110" s="18">
        <v>3</v>
      </c>
      <c r="AB110" s="14" t="s">
        <v>136</v>
      </c>
      <c r="AC110" s="14">
        <v>21.0839638888888</v>
      </c>
      <c r="AD110" s="14">
        <v>55.7124166666666</v>
      </c>
      <c r="AE110" s="9" t="s">
        <v>464</v>
      </c>
      <c r="AF110" s="7" t="s">
        <v>465</v>
      </c>
      <c r="AG110" s="7" t="s">
        <v>466</v>
      </c>
      <c r="AH110" s="9" t="s">
        <v>247</v>
      </c>
      <c r="AI110" s="6" t="s">
        <v>467</v>
      </c>
      <c r="AJ110" s="7" t="s">
        <v>152</v>
      </c>
      <c r="AK110" s="7" t="s">
        <v>97</v>
      </c>
      <c r="AL110" s="7" t="s">
        <v>98</v>
      </c>
      <c r="AM110" s="7" t="s">
        <v>468</v>
      </c>
      <c r="AN110" s="22">
        <v>0.045</v>
      </c>
    </row>
    <row r="111" spans="1:40">
      <c r="A111" s="6" cm="1">
        <f t="array" ref="A111">IF(COUNTIF(B$2:B111,B111)&gt;1,INDEX(A$1:A110,MATCH(B111,B$1:B110,0)),MAX(A$1:A110)+1)</f>
        <v>24</v>
      </c>
      <c r="B111" s="7" t="s">
        <v>459</v>
      </c>
      <c r="C111" s="3" t="s">
        <v>460</v>
      </c>
      <c r="D111" s="8" t="s">
        <v>477</v>
      </c>
      <c r="E111" s="7" t="s">
        <v>108</v>
      </c>
      <c r="F111" s="7" t="s">
        <v>478</v>
      </c>
      <c r="G111" s="7" t="s">
        <v>479</v>
      </c>
      <c r="H111" s="7" t="s">
        <v>480</v>
      </c>
      <c r="I111" s="7" t="s">
        <v>112</v>
      </c>
      <c r="J111" s="7" t="s">
        <v>79</v>
      </c>
      <c r="K111" s="7" t="s">
        <v>113</v>
      </c>
      <c r="L111" s="7" t="s">
        <v>481</v>
      </c>
      <c r="M111" s="7" t="s">
        <v>115</v>
      </c>
      <c r="N111" s="15">
        <v>3000</v>
      </c>
      <c r="O111" s="13">
        <v>800</v>
      </c>
      <c r="P111" s="13">
        <v>1490</v>
      </c>
      <c r="Q111" s="13">
        <v>46</v>
      </c>
      <c r="R111" s="13">
        <v>61</v>
      </c>
      <c r="S111" s="13">
        <v>57.5</v>
      </c>
      <c r="T111" s="13">
        <v>6.6</v>
      </c>
      <c r="U111" s="13">
        <v>183.6</v>
      </c>
      <c r="V111" s="13">
        <v>731</v>
      </c>
      <c r="W111" s="13" t="s">
        <v>115</v>
      </c>
      <c r="X111" s="13" t="s">
        <v>116</v>
      </c>
      <c r="Y111" s="13" t="s">
        <v>149</v>
      </c>
      <c r="Z111" s="17">
        <v>3</v>
      </c>
      <c r="AA111" s="17">
        <v>1</v>
      </c>
      <c r="AB111" s="13" t="s">
        <v>136</v>
      </c>
      <c r="AC111" s="13">
        <v>21.0839638888888</v>
      </c>
      <c r="AD111" s="13">
        <v>55.7124166666666</v>
      </c>
      <c r="AE111" s="7" t="s">
        <v>464</v>
      </c>
      <c r="AF111" s="7" t="s">
        <v>465</v>
      </c>
      <c r="AG111" s="7" t="s">
        <v>466</v>
      </c>
      <c r="AH111" s="9" t="s">
        <v>247</v>
      </c>
      <c r="AI111" s="21" t="s">
        <v>467</v>
      </c>
      <c r="AJ111" s="7" t="s">
        <v>152</v>
      </c>
      <c r="AK111" s="7" t="s">
        <v>97</v>
      </c>
      <c r="AL111" s="7" t="s">
        <v>98</v>
      </c>
      <c r="AM111" s="7" t="s">
        <v>468</v>
      </c>
      <c r="AN111" s="22">
        <v>0</v>
      </c>
    </row>
    <row r="112" spans="1:40">
      <c r="A112" s="6" cm="1">
        <f t="array" ref="A112">IF(COUNTIF(B$2:B112,B112)&gt;1,INDEX(A$1:A111,MATCH(B112,B$1:B111,0)),MAX(A$1:A111)+1)</f>
        <v>24</v>
      </c>
      <c r="B112" s="9" t="s">
        <v>459</v>
      </c>
      <c r="C112" s="10" t="s">
        <v>460</v>
      </c>
      <c r="D112" s="11" t="s">
        <v>310</v>
      </c>
      <c r="E112" s="9" t="s">
        <v>311</v>
      </c>
      <c r="F112" s="9" t="s">
        <v>312</v>
      </c>
      <c r="G112" s="9" t="s">
        <v>140</v>
      </c>
      <c r="H112" s="9" t="s">
        <v>194</v>
      </c>
      <c r="I112" s="9" t="s">
        <v>112</v>
      </c>
      <c r="J112" s="9" t="s">
        <v>79</v>
      </c>
      <c r="K112" s="9" t="s">
        <v>185</v>
      </c>
      <c r="L112" s="9" t="s">
        <v>148</v>
      </c>
      <c r="M112" s="9" t="s">
        <v>129</v>
      </c>
      <c r="N112" s="14"/>
      <c r="O112" s="14">
        <v>945</v>
      </c>
      <c r="P112" s="14">
        <v>1044</v>
      </c>
      <c r="Q112" s="14"/>
      <c r="R112" s="14"/>
      <c r="S112" s="14">
        <v>56.8</v>
      </c>
      <c r="T112" s="14">
        <v>8.1</v>
      </c>
      <c r="U112" s="14">
        <v>196.3</v>
      </c>
      <c r="V112" s="14">
        <v>991.9</v>
      </c>
      <c r="W112" s="14" t="s">
        <v>115</v>
      </c>
      <c r="X112" s="14" t="s">
        <v>116</v>
      </c>
      <c r="Y112" s="14" t="s">
        <v>117</v>
      </c>
      <c r="Z112" s="18">
        <v>3</v>
      </c>
      <c r="AA112" s="18">
        <v>3</v>
      </c>
      <c r="AB112" s="14" t="s">
        <v>136</v>
      </c>
      <c r="AC112" s="14">
        <v>21.0839638888888</v>
      </c>
      <c r="AD112" s="14">
        <v>55.7124166666666</v>
      </c>
      <c r="AE112" s="9" t="s">
        <v>464</v>
      </c>
      <c r="AF112" s="7" t="s">
        <v>465</v>
      </c>
      <c r="AG112" s="7" t="s">
        <v>466</v>
      </c>
      <c r="AH112" s="9" t="s">
        <v>247</v>
      </c>
      <c r="AI112" s="6" t="s">
        <v>467</v>
      </c>
      <c r="AJ112" s="7" t="s">
        <v>152</v>
      </c>
      <c r="AK112" s="7" t="s">
        <v>97</v>
      </c>
      <c r="AL112" s="7" t="s">
        <v>98</v>
      </c>
      <c r="AM112" s="7" t="s">
        <v>468</v>
      </c>
      <c r="AN112" s="22">
        <v>0.03</v>
      </c>
    </row>
    <row r="113" spans="1:40">
      <c r="A113" s="6" cm="1">
        <f t="array" ref="A113">IF(COUNTIF(B$2:B113,B113)&gt;1,INDEX(A$1:A112,MATCH(B113,B$1:B112,0)),MAX(A$1:A112)+1)</f>
        <v>25</v>
      </c>
      <c r="B113" s="7" t="s">
        <v>482</v>
      </c>
      <c r="C113" s="3" t="s">
        <v>483</v>
      </c>
      <c r="D113" s="8" t="s">
        <v>484</v>
      </c>
      <c r="E113" s="7" t="s">
        <v>108</v>
      </c>
      <c r="F113" s="7" t="s">
        <v>485</v>
      </c>
      <c r="G113" s="7" t="s">
        <v>158</v>
      </c>
      <c r="H113" s="7" t="s">
        <v>159</v>
      </c>
      <c r="I113" s="7" t="s">
        <v>112</v>
      </c>
      <c r="J113" s="7" t="s">
        <v>79</v>
      </c>
      <c r="K113" s="7" t="s">
        <v>113</v>
      </c>
      <c r="L113" s="7" t="s">
        <v>486</v>
      </c>
      <c r="M113" s="7" t="s">
        <v>129</v>
      </c>
      <c r="N113" s="13"/>
      <c r="O113" s="13">
        <v>800</v>
      </c>
      <c r="P113" s="13">
        <v>1350</v>
      </c>
      <c r="Q113" s="13">
        <v>51</v>
      </c>
      <c r="R113" s="13">
        <v>64</v>
      </c>
      <c r="S113" s="13">
        <v>65</v>
      </c>
      <c r="T113" s="13">
        <v>8.2</v>
      </c>
      <c r="U113" s="13">
        <v>233.6</v>
      </c>
      <c r="V113" s="13">
        <v>1015.2</v>
      </c>
      <c r="W113" s="13" t="s">
        <v>115</v>
      </c>
      <c r="X113" s="13" t="s">
        <v>116</v>
      </c>
      <c r="Y113" s="13" t="s">
        <v>149</v>
      </c>
      <c r="Z113" s="17">
        <v>3</v>
      </c>
      <c r="AA113" s="17">
        <v>3</v>
      </c>
      <c r="AB113" s="13" t="s">
        <v>136</v>
      </c>
      <c r="AC113" s="13">
        <v>126.563998</v>
      </c>
      <c r="AD113" s="13">
        <v>35.973561</v>
      </c>
      <c r="AE113" s="7" t="s">
        <v>487</v>
      </c>
      <c r="AF113" s="7" t="s">
        <v>488</v>
      </c>
      <c r="AG113" s="7" t="s">
        <v>425</v>
      </c>
      <c r="AH113" s="7" t="s">
        <v>87</v>
      </c>
      <c r="AI113" s="21" t="s">
        <v>489</v>
      </c>
      <c r="AJ113" s="7" t="s">
        <v>152</v>
      </c>
      <c r="AK113" s="7" t="s">
        <v>351</v>
      </c>
      <c r="AL113" s="7" t="s">
        <v>248</v>
      </c>
      <c r="AM113" s="7" t="s">
        <v>490</v>
      </c>
      <c r="AN113" s="22">
        <v>0.33</v>
      </c>
    </row>
    <row r="114" spans="1:40">
      <c r="A114" s="6" cm="1">
        <f t="array" ref="A114">IF(COUNTIF(B$2:B114,B114)&gt;1,INDEX(A$1:A113,MATCH(B114,B$1:B113,0)),MAX(A$1:A113)+1)</f>
        <v>25</v>
      </c>
      <c r="B114" s="9" t="s">
        <v>482</v>
      </c>
      <c r="C114" s="10" t="s">
        <v>483</v>
      </c>
      <c r="D114" s="11" t="s">
        <v>477</v>
      </c>
      <c r="E114" s="9" t="s">
        <v>108</v>
      </c>
      <c r="F114" s="9" t="s">
        <v>478</v>
      </c>
      <c r="G114" s="9" t="s">
        <v>479</v>
      </c>
      <c r="H114" s="9" t="s">
        <v>480</v>
      </c>
      <c r="I114" s="9" t="s">
        <v>112</v>
      </c>
      <c r="J114" s="9" t="s">
        <v>79</v>
      </c>
      <c r="K114" s="9" t="s">
        <v>113</v>
      </c>
      <c r="L114" s="9" t="s">
        <v>491</v>
      </c>
      <c r="M114" s="9" t="s">
        <v>129</v>
      </c>
      <c r="N114" s="12">
        <v>3000</v>
      </c>
      <c r="O114" s="14">
        <v>800</v>
      </c>
      <c r="P114" s="14">
        <v>1490</v>
      </c>
      <c r="Q114" s="14">
        <v>46</v>
      </c>
      <c r="R114" s="14">
        <v>61</v>
      </c>
      <c r="S114" s="14">
        <v>57.5</v>
      </c>
      <c r="T114" s="14">
        <v>6.6</v>
      </c>
      <c r="U114" s="14">
        <v>183.6</v>
      </c>
      <c r="V114" s="14">
        <v>731</v>
      </c>
      <c r="W114" s="14" t="s">
        <v>115</v>
      </c>
      <c r="X114" s="14" t="s">
        <v>116</v>
      </c>
      <c r="Y114" s="14" t="s">
        <v>149</v>
      </c>
      <c r="Z114" s="18">
        <v>3</v>
      </c>
      <c r="AA114" s="18">
        <v>1</v>
      </c>
      <c r="AB114" s="14" t="s">
        <v>136</v>
      </c>
      <c r="AC114" s="14">
        <v>126.563998</v>
      </c>
      <c r="AD114" s="14">
        <v>35.973561</v>
      </c>
      <c r="AE114" s="9" t="s">
        <v>487</v>
      </c>
      <c r="AF114" s="7" t="s">
        <v>488</v>
      </c>
      <c r="AG114" s="7" t="s">
        <v>425</v>
      </c>
      <c r="AH114" s="7" t="s">
        <v>87</v>
      </c>
      <c r="AI114" s="6" t="s">
        <v>489</v>
      </c>
      <c r="AJ114" s="7" t="s">
        <v>152</v>
      </c>
      <c r="AK114" s="7" t="s">
        <v>351</v>
      </c>
      <c r="AL114" s="7" t="s">
        <v>248</v>
      </c>
      <c r="AM114" s="7" t="s">
        <v>490</v>
      </c>
      <c r="AN114" s="22">
        <v>0</v>
      </c>
    </row>
    <row r="115" spans="1:40">
      <c r="A115" s="6" cm="1">
        <f t="array" ref="A115">IF(COUNTIF(B$2:B115,B115)&gt;1,INDEX(A$1:A114,MATCH(B115,B$1:B114,0)),MAX(A$1:A114)+1)</f>
        <v>25</v>
      </c>
      <c r="B115" s="7" t="s">
        <v>482</v>
      </c>
      <c r="C115" s="3" t="s">
        <v>483</v>
      </c>
      <c r="D115" s="8" t="s">
        <v>474</v>
      </c>
      <c r="E115" s="7" t="s">
        <v>311</v>
      </c>
      <c r="F115" s="7" t="s">
        <v>475</v>
      </c>
      <c r="G115" s="7" t="s">
        <v>405</v>
      </c>
      <c r="H115" s="7" t="s">
        <v>406</v>
      </c>
      <c r="I115" s="7" t="s">
        <v>112</v>
      </c>
      <c r="J115" s="7" t="s">
        <v>79</v>
      </c>
      <c r="K115" s="7" t="s">
        <v>113</v>
      </c>
      <c r="L115" s="7" t="s">
        <v>492</v>
      </c>
      <c r="M115" s="7" t="s">
        <v>129</v>
      </c>
      <c r="N115" s="15">
        <v>500</v>
      </c>
      <c r="O115" s="13"/>
      <c r="P115" s="13">
        <v>1816</v>
      </c>
      <c r="Q115" s="13"/>
      <c r="R115" s="13"/>
      <c r="S115" s="13">
        <v>63.1</v>
      </c>
      <c r="T115" s="13">
        <v>7.5</v>
      </c>
      <c r="U115" s="13">
        <v>275.4</v>
      </c>
      <c r="V115" s="13">
        <v>1486</v>
      </c>
      <c r="W115" s="13" t="s">
        <v>115</v>
      </c>
      <c r="X115" s="13" t="s">
        <v>116</v>
      </c>
      <c r="Y115" s="13" t="s">
        <v>149</v>
      </c>
      <c r="Z115" s="17">
        <v>3</v>
      </c>
      <c r="AA115" s="17">
        <v>3</v>
      </c>
      <c r="AB115" s="13" t="s">
        <v>136</v>
      </c>
      <c r="AC115" s="13">
        <v>126.563998</v>
      </c>
      <c r="AD115" s="13">
        <v>35.973561</v>
      </c>
      <c r="AE115" s="7" t="s">
        <v>487</v>
      </c>
      <c r="AF115" s="7" t="s">
        <v>488</v>
      </c>
      <c r="AG115" s="7" t="s">
        <v>425</v>
      </c>
      <c r="AH115" s="7" t="s">
        <v>87</v>
      </c>
      <c r="AI115" s="21" t="s">
        <v>489</v>
      </c>
      <c r="AJ115" s="7" t="s">
        <v>152</v>
      </c>
      <c r="AK115" s="7" t="s">
        <v>351</v>
      </c>
      <c r="AL115" s="7" t="s">
        <v>248</v>
      </c>
      <c r="AM115" s="7" t="s">
        <v>490</v>
      </c>
      <c r="AN115" s="22">
        <v>0</v>
      </c>
    </row>
    <row r="116" spans="1:40">
      <c r="A116" s="6" cm="1">
        <f t="array" ref="A116">IF(COUNTIF(B$2:B116,B116)&gt;1,INDEX(A$1:A115,MATCH(B116,B$1:B115,0)),MAX(A$1:A115)+1)</f>
        <v>25</v>
      </c>
      <c r="B116" s="9" t="s">
        <v>482</v>
      </c>
      <c r="C116" s="10" t="s">
        <v>483</v>
      </c>
      <c r="D116" s="11" t="s">
        <v>493</v>
      </c>
      <c r="E116" s="9" t="s">
        <v>108</v>
      </c>
      <c r="F116" s="9" t="s">
        <v>494</v>
      </c>
      <c r="G116" s="9" t="s">
        <v>405</v>
      </c>
      <c r="H116" s="9" t="s">
        <v>406</v>
      </c>
      <c r="I116" s="9" t="s">
        <v>112</v>
      </c>
      <c r="J116" s="9" t="s">
        <v>79</v>
      </c>
      <c r="K116" s="9" t="s">
        <v>113</v>
      </c>
      <c r="L116" s="9" t="s">
        <v>495</v>
      </c>
      <c r="M116" s="9" t="s">
        <v>129</v>
      </c>
      <c r="N116" s="12">
        <v>500</v>
      </c>
      <c r="O116" s="14">
        <v>2000</v>
      </c>
      <c r="P116" s="14">
        <v>3400</v>
      </c>
      <c r="Q116" s="14">
        <v>40</v>
      </c>
      <c r="R116" s="14">
        <v>81</v>
      </c>
      <c r="S116" s="14">
        <v>71</v>
      </c>
      <c r="T116" s="14">
        <v>8.5</v>
      </c>
      <c r="U116" s="14">
        <v>285.8</v>
      </c>
      <c r="V116" s="14">
        <v>2251.1</v>
      </c>
      <c r="W116" s="14" t="s">
        <v>115</v>
      </c>
      <c r="X116" s="14" t="s">
        <v>116</v>
      </c>
      <c r="Y116" s="14" t="s">
        <v>149</v>
      </c>
      <c r="Z116" s="18">
        <v>3</v>
      </c>
      <c r="AA116" s="18">
        <v>3</v>
      </c>
      <c r="AB116" s="14" t="s">
        <v>136</v>
      </c>
      <c r="AC116" s="14">
        <v>126.563998</v>
      </c>
      <c r="AD116" s="14">
        <v>35.973561</v>
      </c>
      <c r="AE116" s="9" t="s">
        <v>487</v>
      </c>
      <c r="AF116" s="7" t="s">
        <v>488</v>
      </c>
      <c r="AG116" s="7" t="s">
        <v>425</v>
      </c>
      <c r="AH116" s="7" t="s">
        <v>87</v>
      </c>
      <c r="AI116" s="6" t="s">
        <v>489</v>
      </c>
      <c r="AJ116" s="7" t="s">
        <v>152</v>
      </c>
      <c r="AK116" s="7" t="s">
        <v>351</v>
      </c>
      <c r="AL116" s="7" t="s">
        <v>248</v>
      </c>
      <c r="AM116" s="7" t="s">
        <v>490</v>
      </c>
      <c r="AN116" s="22">
        <v>0</v>
      </c>
    </row>
    <row r="117" spans="1:40">
      <c r="A117" s="6" cm="1">
        <f t="array" ref="A117">IF(COUNTIF(B$2:B117,B117)&gt;1,INDEX(A$1:A116,MATCH(B117,B$1:B116,0)),MAX(A$1:A116)+1)</f>
        <v>25</v>
      </c>
      <c r="B117" s="7" t="s">
        <v>482</v>
      </c>
      <c r="C117" s="3" t="s">
        <v>483</v>
      </c>
      <c r="D117" s="8" t="s">
        <v>496</v>
      </c>
      <c r="E117" s="7" t="s">
        <v>497</v>
      </c>
      <c r="F117" s="7" t="s">
        <v>498</v>
      </c>
      <c r="G117" s="7" t="s">
        <v>405</v>
      </c>
      <c r="H117" s="7" t="s">
        <v>406</v>
      </c>
      <c r="I117" s="7" t="s">
        <v>112</v>
      </c>
      <c r="J117" s="7" t="s">
        <v>79</v>
      </c>
      <c r="K117" s="7" t="s">
        <v>113</v>
      </c>
      <c r="L117" s="7" t="s">
        <v>495</v>
      </c>
      <c r="M117" s="7" t="s">
        <v>129</v>
      </c>
      <c r="N117" s="15">
        <v>500</v>
      </c>
      <c r="O117" s="13"/>
      <c r="P117" s="13"/>
      <c r="Q117" s="13"/>
      <c r="R117" s="13"/>
      <c r="S117" s="13">
        <v>71.9</v>
      </c>
      <c r="T117" s="13">
        <v>8.3</v>
      </c>
      <c r="U117" s="13">
        <v>291.2</v>
      </c>
      <c r="V117" s="13">
        <v>2251.1</v>
      </c>
      <c r="W117" s="13" t="s">
        <v>115</v>
      </c>
      <c r="X117" s="13" t="s">
        <v>116</v>
      </c>
      <c r="Y117" s="13" t="s">
        <v>149</v>
      </c>
      <c r="Z117" s="17">
        <v>3</v>
      </c>
      <c r="AA117" s="17">
        <v>3</v>
      </c>
      <c r="AB117" s="13" t="s">
        <v>136</v>
      </c>
      <c r="AC117" s="13">
        <v>126.563998</v>
      </c>
      <c r="AD117" s="13">
        <v>35.973561</v>
      </c>
      <c r="AE117" s="7" t="s">
        <v>487</v>
      </c>
      <c r="AF117" s="7" t="s">
        <v>488</v>
      </c>
      <c r="AG117" s="7" t="s">
        <v>425</v>
      </c>
      <c r="AH117" s="7" t="s">
        <v>87</v>
      </c>
      <c r="AI117" s="21" t="s">
        <v>489</v>
      </c>
      <c r="AJ117" s="7" t="s">
        <v>152</v>
      </c>
      <c r="AK117" s="7" t="s">
        <v>351</v>
      </c>
      <c r="AL117" s="7" t="s">
        <v>248</v>
      </c>
      <c r="AM117" s="7" t="s">
        <v>490</v>
      </c>
      <c r="AN117" s="22">
        <v>0.35</v>
      </c>
    </row>
    <row r="118" spans="1:40">
      <c r="A118" s="6" cm="1">
        <f t="array" ref="A118">IF(COUNTIF(B$2:B118,B118)&gt;1,INDEX(A$1:A117,MATCH(B118,B$1:B117,0)),MAX(A$1:A117)+1)</f>
        <v>25</v>
      </c>
      <c r="B118" s="9" t="s">
        <v>482</v>
      </c>
      <c r="C118" s="10" t="s">
        <v>483</v>
      </c>
      <c r="D118" s="11" t="s">
        <v>499</v>
      </c>
      <c r="E118" s="9"/>
      <c r="F118" s="9"/>
      <c r="G118" s="9"/>
      <c r="H118" s="9"/>
      <c r="I118" s="9"/>
      <c r="J118" s="9"/>
      <c r="K118" s="9"/>
      <c r="L118" s="9"/>
      <c r="M118" s="9" t="s">
        <v>129</v>
      </c>
      <c r="N118" s="12"/>
      <c r="O118" s="14"/>
      <c r="P118" s="14"/>
      <c r="Q118" s="14"/>
      <c r="R118" s="14"/>
      <c r="S118" s="14"/>
      <c r="T118" s="14"/>
      <c r="U118" s="14"/>
      <c r="V118" s="14"/>
      <c r="W118" s="14"/>
      <c r="X118" s="14"/>
      <c r="Y118" s="14"/>
      <c r="Z118" s="18"/>
      <c r="AA118" s="18"/>
      <c r="AB118" s="14"/>
      <c r="AC118" s="14">
        <v>126.563998</v>
      </c>
      <c r="AD118" s="14">
        <v>35.973561</v>
      </c>
      <c r="AE118" s="9" t="s">
        <v>487</v>
      </c>
      <c r="AF118" s="7" t="s">
        <v>488</v>
      </c>
      <c r="AG118" s="7" t="s">
        <v>425</v>
      </c>
      <c r="AH118" s="7" t="s">
        <v>87</v>
      </c>
      <c r="AI118" s="6" t="s">
        <v>489</v>
      </c>
      <c r="AJ118" s="7" t="s">
        <v>152</v>
      </c>
      <c r="AK118" s="7" t="s">
        <v>351</v>
      </c>
      <c r="AL118" s="7" t="s">
        <v>248</v>
      </c>
      <c r="AM118" s="7" t="s">
        <v>490</v>
      </c>
      <c r="AN118" s="22">
        <v>0</v>
      </c>
    </row>
    <row r="119" spans="1:40">
      <c r="A119" s="6" cm="1">
        <f t="array" ref="A119">IF(COUNTIF(B$2:B119,B119)&gt;1,INDEX(A$1:A118,MATCH(B119,B$1:B118,0)),MAX(A$1:A118)+1)</f>
        <v>25</v>
      </c>
      <c r="B119" s="7" t="s">
        <v>482</v>
      </c>
      <c r="C119" s="3" t="s">
        <v>483</v>
      </c>
      <c r="D119" s="8" t="s">
        <v>420</v>
      </c>
      <c r="E119" s="7" t="s">
        <v>421</v>
      </c>
      <c r="F119" s="7" t="s">
        <v>422</v>
      </c>
      <c r="G119" s="7" t="s">
        <v>183</v>
      </c>
      <c r="H119" s="7" t="s">
        <v>423</v>
      </c>
      <c r="I119" s="7" t="s">
        <v>112</v>
      </c>
      <c r="J119" s="7" t="s">
        <v>286</v>
      </c>
      <c r="K119" s="7" t="s">
        <v>185</v>
      </c>
      <c r="L119" s="7"/>
      <c r="M119" s="7" t="s">
        <v>129</v>
      </c>
      <c r="N119" s="15"/>
      <c r="O119" s="13"/>
      <c r="P119" s="13"/>
      <c r="Q119" s="13"/>
      <c r="R119" s="13"/>
      <c r="S119" s="13">
        <v>16.5</v>
      </c>
      <c r="T119" s="13">
        <v>3</v>
      </c>
      <c r="U119" s="13">
        <v>152.6</v>
      </c>
      <c r="V119" s="13">
        <v>39.8</v>
      </c>
      <c r="W119" s="13" t="s">
        <v>115</v>
      </c>
      <c r="X119" s="13" t="s">
        <v>116</v>
      </c>
      <c r="Y119" s="13" t="s">
        <v>117</v>
      </c>
      <c r="Z119" s="17">
        <v>3</v>
      </c>
      <c r="AA119" s="17">
        <v>3</v>
      </c>
      <c r="AB119" s="13" t="s">
        <v>118</v>
      </c>
      <c r="AC119" s="13">
        <v>126.563998</v>
      </c>
      <c r="AD119" s="13">
        <v>35.973561</v>
      </c>
      <c r="AE119" s="7" t="s">
        <v>487</v>
      </c>
      <c r="AF119" s="7" t="s">
        <v>488</v>
      </c>
      <c r="AG119" s="7" t="s">
        <v>425</v>
      </c>
      <c r="AH119" s="7" t="s">
        <v>87</v>
      </c>
      <c r="AI119" s="21" t="s">
        <v>489</v>
      </c>
      <c r="AJ119" s="7" t="s">
        <v>152</v>
      </c>
      <c r="AK119" s="7" t="s">
        <v>351</v>
      </c>
      <c r="AL119" s="7" t="s">
        <v>248</v>
      </c>
      <c r="AM119" s="7" t="s">
        <v>490</v>
      </c>
      <c r="AN119" s="22">
        <v>18.73</v>
      </c>
    </row>
    <row r="120" spans="1:40">
      <c r="A120" s="6" cm="1">
        <f t="array" ref="A120">IF(COUNTIF(B$2:B120,B120)&gt;1,INDEX(A$1:A119,MATCH(B120,B$1:B119,0)),MAX(A$1:A119)+1)</f>
        <v>25</v>
      </c>
      <c r="B120" s="9" t="s">
        <v>482</v>
      </c>
      <c r="C120" s="10" t="s">
        <v>483</v>
      </c>
      <c r="D120" s="11" t="s">
        <v>500</v>
      </c>
      <c r="E120" s="9" t="s">
        <v>501</v>
      </c>
      <c r="F120" s="9" t="s">
        <v>502</v>
      </c>
      <c r="G120" s="9" t="s">
        <v>183</v>
      </c>
      <c r="H120" s="9" t="s">
        <v>184</v>
      </c>
      <c r="I120" s="9" t="s">
        <v>112</v>
      </c>
      <c r="J120" s="9" t="s">
        <v>286</v>
      </c>
      <c r="K120" s="9" t="s">
        <v>185</v>
      </c>
      <c r="L120" s="9" t="s">
        <v>413</v>
      </c>
      <c r="M120" s="9" t="s">
        <v>129</v>
      </c>
      <c r="N120" s="12"/>
      <c r="O120" s="14"/>
      <c r="P120" s="14"/>
      <c r="Q120" s="14"/>
      <c r="R120" s="14"/>
      <c r="S120" s="14">
        <v>48.9</v>
      </c>
      <c r="T120" s="14">
        <v>9.7</v>
      </c>
      <c r="U120" s="14">
        <v>319.2</v>
      </c>
      <c r="V120" s="14">
        <v>580</v>
      </c>
      <c r="W120" s="14" t="s">
        <v>115</v>
      </c>
      <c r="X120" s="14" t="s">
        <v>116</v>
      </c>
      <c r="Y120" s="14" t="s">
        <v>117</v>
      </c>
      <c r="Z120" s="18">
        <v>3</v>
      </c>
      <c r="AA120" s="18">
        <v>3</v>
      </c>
      <c r="AB120" s="14" t="s">
        <v>261</v>
      </c>
      <c r="AC120" s="14">
        <v>126.563998</v>
      </c>
      <c r="AD120" s="14">
        <v>35.973561</v>
      </c>
      <c r="AE120" s="9" t="s">
        <v>487</v>
      </c>
      <c r="AF120" s="7" t="s">
        <v>488</v>
      </c>
      <c r="AG120" s="7" t="s">
        <v>425</v>
      </c>
      <c r="AH120" s="7" t="s">
        <v>87</v>
      </c>
      <c r="AI120" s="6" t="s">
        <v>489</v>
      </c>
      <c r="AJ120" s="7" t="s">
        <v>152</v>
      </c>
      <c r="AK120" s="7" t="s">
        <v>351</v>
      </c>
      <c r="AL120" s="7" t="s">
        <v>248</v>
      </c>
      <c r="AM120" s="7" t="s">
        <v>490</v>
      </c>
      <c r="AN120" s="22">
        <v>0</v>
      </c>
    </row>
    <row r="121" spans="1:40">
      <c r="A121" s="6" cm="1">
        <f t="array" ref="A121">IF(COUNTIF(B$2:B121,B121)&gt;1,INDEX(A$1:A120,MATCH(B121,B$1:B120,0)),MAX(A$1:A120)+1)</f>
        <v>25</v>
      </c>
      <c r="B121" s="7" t="s">
        <v>482</v>
      </c>
      <c r="C121" s="3" t="s">
        <v>483</v>
      </c>
      <c r="D121" s="8" t="s">
        <v>503</v>
      </c>
      <c r="E121" s="7" t="s">
        <v>108</v>
      </c>
      <c r="F121" s="7" t="s">
        <v>504</v>
      </c>
      <c r="G121" s="7" t="s">
        <v>134</v>
      </c>
      <c r="H121" s="7" t="s">
        <v>147</v>
      </c>
      <c r="I121" s="7" t="s">
        <v>112</v>
      </c>
      <c r="J121" s="7" t="s">
        <v>79</v>
      </c>
      <c r="K121" s="7" t="s">
        <v>113</v>
      </c>
      <c r="L121" s="7" t="s">
        <v>505</v>
      </c>
      <c r="M121" s="7" t="s">
        <v>129</v>
      </c>
      <c r="N121" s="15"/>
      <c r="O121" s="13">
        <v>2600</v>
      </c>
      <c r="P121" s="13">
        <v>3700</v>
      </c>
      <c r="Q121" s="13">
        <v>84</v>
      </c>
      <c r="R121" s="13">
        <v>90</v>
      </c>
      <c r="S121" s="13">
        <v>82.7</v>
      </c>
      <c r="T121" s="13">
        <v>13.2</v>
      </c>
      <c r="U121" s="13">
        <v>340.2</v>
      </c>
      <c r="V121" s="13">
        <v>2529</v>
      </c>
      <c r="W121" s="13" t="s">
        <v>115</v>
      </c>
      <c r="X121" s="13" t="s">
        <v>116</v>
      </c>
      <c r="Y121" s="13" t="s">
        <v>149</v>
      </c>
      <c r="Z121" s="17">
        <v>3</v>
      </c>
      <c r="AA121" s="17">
        <v>2</v>
      </c>
      <c r="AB121" s="13" t="s">
        <v>136</v>
      </c>
      <c r="AC121" s="13">
        <v>126.563998</v>
      </c>
      <c r="AD121" s="13">
        <v>35.973561</v>
      </c>
      <c r="AE121" s="7" t="s">
        <v>487</v>
      </c>
      <c r="AF121" s="7" t="s">
        <v>488</v>
      </c>
      <c r="AG121" s="7" t="s">
        <v>425</v>
      </c>
      <c r="AH121" s="7" t="s">
        <v>87</v>
      </c>
      <c r="AI121" s="21" t="s">
        <v>489</v>
      </c>
      <c r="AJ121" s="7" t="s">
        <v>152</v>
      </c>
      <c r="AK121" s="7" t="s">
        <v>351</v>
      </c>
      <c r="AL121" s="7" t="s">
        <v>248</v>
      </c>
      <c r="AM121" s="7" t="s">
        <v>490</v>
      </c>
      <c r="AN121" s="22">
        <v>0</v>
      </c>
    </row>
    <row r="122" spans="1:40">
      <c r="A122" s="6" cm="1">
        <f t="array" ref="A122">IF(COUNTIF(B$2:B122,B122)&gt;1,INDEX(A$1:A121,MATCH(B122,B$1:B121,0)),MAX(A$1:A121)+1)</f>
        <v>25</v>
      </c>
      <c r="B122" s="9" t="s">
        <v>482</v>
      </c>
      <c r="C122" s="10" t="s">
        <v>483</v>
      </c>
      <c r="D122" s="11" t="s">
        <v>506</v>
      </c>
      <c r="E122" s="9" t="s">
        <v>507</v>
      </c>
      <c r="F122" s="9" t="s">
        <v>508</v>
      </c>
      <c r="G122" s="9" t="s">
        <v>140</v>
      </c>
      <c r="H122" s="9" t="s">
        <v>111</v>
      </c>
      <c r="I122" s="9" t="s">
        <v>112</v>
      </c>
      <c r="J122" s="9" t="s">
        <v>79</v>
      </c>
      <c r="K122" s="9" t="s">
        <v>113</v>
      </c>
      <c r="L122" s="9" t="s">
        <v>509</v>
      </c>
      <c r="M122" s="9" t="s">
        <v>115</v>
      </c>
      <c r="N122" s="12"/>
      <c r="O122" s="14"/>
      <c r="P122" s="14"/>
      <c r="Q122" s="14"/>
      <c r="R122" s="14"/>
      <c r="S122" s="14">
        <v>58.7</v>
      </c>
      <c r="T122" s="14">
        <v>6.5</v>
      </c>
      <c r="U122" s="14">
        <v>364.2</v>
      </c>
      <c r="V122" s="14">
        <v>561</v>
      </c>
      <c r="W122" s="14" t="s">
        <v>115</v>
      </c>
      <c r="X122" s="14" t="s">
        <v>116</v>
      </c>
      <c r="Y122" s="14" t="s">
        <v>330</v>
      </c>
      <c r="Z122" s="18">
        <v>3</v>
      </c>
      <c r="AA122" s="18">
        <v>2</v>
      </c>
      <c r="AB122" s="14" t="s">
        <v>118</v>
      </c>
      <c r="AC122" s="14">
        <v>126.563998</v>
      </c>
      <c r="AD122" s="14">
        <v>35.973561</v>
      </c>
      <c r="AE122" s="9" t="s">
        <v>487</v>
      </c>
      <c r="AF122" s="7" t="s">
        <v>488</v>
      </c>
      <c r="AG122" s="7" t="s">
        <v>425</v>
      </c>
      <c r="AH122" s="7" t="s">
        <v>87</v>
      </c>
      <c r="AI122" s="6" t="s">
        <v>489</v>
      </c>
      <c r="AJ122" s="7" t="s">
        <v>152</v>
      </c>
      <c r="AK122" s="7" t="s">
        <v>351</v>
      </c>
      <c r="AL122" s="7" t="s">
        <v>248</v>
      </c>
      <c r="AM122" s="7" t="s">
        <v>490</v>
      </c>
      <c r="AN122" s="22">
        <v>0.13</v>
      </c>
    </row>
    <row r="123" spans="1:40">
      <c r="A123" s="6" cm="1">
        <f t="array" ref="A123">IF(COUNTIF(B$2:B123,B123)&gt;1,INDEX(A$1:A122,MATCH(B123,B$1:B122,0)),MAX(A$1:A122)+1)</f>
        <v>25</v>
      </c>
      <c r="B123" s="7" t="s">
        <v>482</v>
      </c>
      <c r="C123" s="3" t="s">
        <v>483</v>
      </c>
      <c r="D123" s="8" t="s">
        <v>327</v>
      </c>
      <c r="E123" s="7" t="s">
        <v>311</v>
      </c>
      <c r="F123" s="7" t="s">
        <v>328</v>
      </c>
      <c r="G123" s="7" t="s">
        <v>140</v>
      </c>
      <c r="H123" s="7" t="s">
        <v>111</v>
      </c>
      <c r="I123" s="7" t="s">
        <v>112</v>
      </c>
      <c r="J123" s="7" t="s">
        <v>79</v>
      </c>
      <c r="K123" s="7" t="s">
        <v>113</v>
      </c>
      <c r="L123" s="7" t="s">
        <v>329</v>
      </c>
      <c r="M123" s="7" t="s">
        <v>115</v>
      </c>
      <c r="N123" s="15">
        <v>2000</v>
      </c>
      <c r="O123" s="13">
        <v>800</v>
      </c>
      <c r="P123" s="13">
        <v>1250</v>
      </c>
      <c r="Q123" s="13">
        <v>56</v>
      </c>
      <c r="R123" s="13">
        <v>66</v>
      </c>
      <c r="S123" s="13">
        <v>74</v>
      </c>
      <c r="T123" s="13">
        <v>8.9</v>
      </c>
      <c r="U123" s="13">
        <v>430</v>
      </c>
      <c r="V123" s="13">
        <v>1091</v>
      </c>
      <c r="W123" s="13" t="s">
        <v>115</v>
      </c>
      <c r="X123" s="13" t="s">
        <v>116</v>
      </c>
      <c r="Y123" s="13" t="s">
        <v>330</v>
      </c>
      <c r="Z123" s="17">
        <v>3</v>
      </c>
      <c r="AA123" s="17">
        <v>2</v>
      </c>
      <c r="AB123" s="13" t="s">
        <v>261</v>
      </c>
      <c r="AC123" s="13">
        <v>126.563998</v>
      </c>
      <c r="AD123" s="13">
        <v>35.973561</v>
      </c>
      <c r="AE123" s="7" t="s">
        <v>487</v>
      </c>
      <c r="AF123" s="7" t="s">
        <v>488</v>
      </c>
      <c r="AG123" s="7" t="s">
        <v>425</v>
      </c>
      <c r="AH123" s="7" t="s">
        <v>87</v>
      </c>
      <c r="AI123" s="21" t="s">
        <v>489</v>
      </c>
      <c r="AJ123" s="7" t="s">
        <v>152</v>
      </c>
      <c r="AK123" s="7" t="s">
        <v>351</v>
      </c>
      <c r="AL123" s="7" t="s">
        <v>248</v>
      </c>
      <c r="AM123" s="7" t="s">
        <v>490</v>
      </c>
      <c r="AN123" s="22">
        <v>0</v>
      </c>
    </row>
    <row r="124" spans="1:40">
      <c r="A124" s="6" cm="1">
        <f t="array" ref="A124">IF(COUNTIF(B$2:B124,B124)&gt;1,INDEX(A$1:A123,MATCH(B124,B$1:B123,0)),MAX(A$1:A123)+1)</f>
        <v>25</v>
      </c>
      <c r="B124" s="9" t="s">
        <v>482</v>
      </c>
      <c r="C124" s="10" t="s">
        <v>483</v>
      </c>
      <c r="D124" s="11" t="s">
        <v>510</v>
      </c>
      <c r="E124" s="9" t="s">
        <v>373</v>
      </c>
      <c r="F124" s="9" t="s">
        <v>511</v>
      </c>
      <c r="G124" s="9" t="s">
        <v>140</v>
      </c>
      <c r="H124" s="9" t="s">
        <v>194</v>
      </c>
      <c r="I124" s="9" t="s">
        <v>112</v>
      </c>
      <c r="J124" s="9" t="s">
        <v>79</v>
      </c>
      <c r="K124" s="9" t="s">
        <v>185</v>
      </c>
      <c r="L124" s="9" t="s">
        <v>512</v>
      </c>
      <c r="M124" s="9" t="s">
        <v>129</v>
      </c>
      <c r="N124" s="12">
        <v>100</v>
      </c>
      <c r="O124" s="14"/>
      <c r="P124" s="14"/>
      <c r="Q124" s="14"/>
      <c r="R124" s="14"/>
      <c r="S124" s="14">
        <v>23.6</v>
      </c>
      <c r="T124" s="14">
        <v>5</v>
      </c>
      <c r="U124" s="14">
        <v>135.5</v>
      </c>
      <c r="V124" s="14">
        <v>217.7</v>
      </c>
      <c r="W124" s="14" t="s">
        <v>115</v>
      </c>
      <c r="X124" s="14" t="s">
        <v>116</v>
      </c>
      <c r="Y124" s="14" t="s">
        <v>117</v>
      </c>
      <c r="Z124" s="18">
        <v>3</v>
      </c>
      <c r="AA124" s="18">
        <v>3</v>
      </c>
      <c r="AB124" s="14" t="s">
        <v>136</v>
      </c>
      <c r="AC124" s="14">
        <v>126.563998</v>
      </c>
      <c r="AD124" s="14">
        <v>35.973561</v>
      </c>
      <c r="AE124" s="9" t="s">
        <v>487</v>
      </c>
      <c r="AF124" s="7" t="s">
        <v>488</v>
      </c>
      <c r="AG124" s="7" t="s">
        <v>425</v>
      </c>
      <c r="AH124" s="7" t="s">
        <v>87</v>
      </c>
      <c r="AI124" s="6" t="s">
        <v>489</v>
      </c>
      <c r="AJ124" s="7" t="s">
        <v>152</v>
      </c>
      <c r="AK124" s="7" t="s">
        <v>351</v>
      </c>
      <c r="AL124" s="7" t="s">
        <v>248</v>
      </c>
      <c r="AM124" s="7" t="s">
        <v>490</v>
      </c>
      <c r="AN124" s="22">
        <v>0.02</v>
      </c>
    </row>
    <row r="125" spans="1:40">
      <c r="A125" s="6" cm="1">
        <f t="array" ref="A125">IF(COUNTIF(B$2:B125,B125)&gt;1,INDEX(A$1:A124,MATCH(B125,B$1:B124,0)),MAX(A$1:A124)+1)</f>
        <v>26</v>
      </c>
      <c r="B125" s="7" t="s">
        <v>513</v>
      </c>
      <c r="C125" s="3" t="s">
        <v>514</v>
      </c>
      <c r="D125" s="8" t="s">
        <v>515</v>
      </c>
      <c r="E125" s="7" t="s">
        <v>516</v>
      </c>
      <c r="F125" s="7" t="s">
        <v>517</v>
      </c>
      <c r="G125" s="7" t="s">
        <v>183</v>
      </c>
      <c r="H125" s="7" t="s">
        <v>184</v>
      </c>
      <c r="I125" s="7" t="s">
        <v>112</v>
      </c>
      <c r="J125" s="7" t="s">
        <v>79</v>
      </c>
      <c r="K125" s="7" t="s">
        <v>185</v>
      </c>
      <c r="L125" s="7" t="s">
        <v>518</v>
      </c>
      <c r="M125" s="7" t="s">
        <v>129</v>
      </c>
      <c r="N125" s="15"/>
      <c r="O125" s="13"/>
      <c r="P125" s="13"/>
      <c r="Q125" s="13"/>
      <c r="R125" s="13"/>
      <c r="S125" s="13">
        <v>55</v>
      </c>
      <c r="T125" s="13">
        <v>11.3</v>
      </c>
      <c r="U125" s="13">
        <v>347</v>
      </c>
      <c r="V125" s="13">
        <v>535</v>
      </c>
      <c r="W125" s="13" t="s">
        <v>115</v>
      </c>
      <c r="X125" s="13" t="s">
        <v>116</v>
      </c>
      <c r="Y125" s="13" t="s">
        <v>117</v>
      </c>
      <c r="Z125" s="17">
        <v>3</v>
      </c>
      <c r="AA125" s="17">
        <v>3</v>
      </c>
      <c r="AB125" s="13" t="s">
        <v>261</v>
      </c>
      <c r="AC125" s="13">
        <v>-15.613071</v>
      </c>
      <c r="AD125" s="13">
        <v>27.954268</v>
      </c>
      <c r="AE125" s="7" t="s">
        <v>519</v>
      </c>
      <c r="AF125" s="7"/>
      <c r="AG125" s="7" t="s">
        <v>520</v>
      </c>
      <c r="AH125" s="7" t="s">
        <v>247</v>
      </c>
      <c r="AI125" s="21" t="s">
        <v>521</v>
      </c>
      <c r="AJ125" s="7" t="s">
        <v>152</v>
      </c>
      <c r="AK125" s="7" t="s">
        <v>89</v>
      </c>
      <c r="AL125" s="7" t="s">
        <v>90</v>
      </c>
      <c r="AM125" s="7"/>
      <c r="AN125" s="22">
        <v>8.13</v>
      </c>
    </row>
    <row r="126" spans="1:40">
      <c r="A126" s="6" cm="1">
        <f t="array" ref="A126">IF(COUNTIF(B$2:B126,B126)&gt;1,INDEX(A$1:A125,MATCH(B126,B$1:B125,0)),MAX(A$1:A125)+1)</f>
        <v>26</v>
      </c>
      <c r="B126" s="9" t="s">
        <v>513</v>
      </c>
      <c r="C126" s="10" t="s">
        <v>514</v>
      </c>
      <c r="D126" s="11" t="s">
        <v>522</v>
      </c>
      <c r="E126" s="9" t="s">
        <v>523</v>
      </c>
      <c r="F126" s="9" t="s">
        <v>524</v>
      </c>
      <c r="G126" s="9" t="s">
        <v>183</v>
      </c>
      <c r="H126" s="9" t="s">
        <v>423</v>
      </c>
      <c r="I126" s="9" t="s">
        <v>112</v>
      </c>
      <c r="J126" s="9" t="s">
        <v>79</v>
      </c>
      <c r="K126" s="9" t="s">
        <v>185</v>
      </c>
      <c r="L126" s="9" t="s">
        <v>525</v>
      </c>
      <c r="M126" s="9" t="s">
        <v>129</v>
      </c>
      <c r="N126" s="12"/>
      <c r="O126" s="14"/>
      <c r="P126" s="14"/>
      <c r="Q126" s="14"/>
      <c r="R126" s="14"/>
      <c r="S126" s="14">
        <v>15.6</v>
      </c>
      <c r="T126" s="14">
        <v>2.7</v>
      </c>
      <c r="U126" s="14">
        <v>150.4</v>
      </c>
      <c r="V126" s="14">
        <v>46.1</v>
      </c>
      <c r="W126" s="14" t="s">
        <v>115</v>
      </c>
      <c r="X126" s="14" t="s">
        <v>116</v>
      </c>
      <c r="Y126" s="14" t="s">
        <v>117</v>
      </c>
      <c r="Z126" s="18">
        <v>3</v>
      </c>
      <c r="AA126" s="18">
        <v>3</v>
      </c>
      <c r="AB126" s="14" t="s">
        <v>118</v>
      </c>
      <c r="AC126" s="14">
        <v>-15.613071</v>
      </c>
      <c r="AD126" s="14">
        <v>27.954268</v>
      </c>
      <c r="AE126" s="9" t="s">
        <v>519</v>
      </c>
      <c r="AF126" s="9"/>
      <c r="AG126" s="9" t="s">
        <v>520</v>
      </c>
      <c r="AH126" s="7" t="s">
        <v>247</v>
      </c>
      <c r="AI126" s="6" t="s">
        <v>521</v>
      </c>
      <c r="AJ126" s="7" t="s">
        <v>152</v>
      </c>
      <c r="AK126" s="7" t="s">
        <v>89</v>
      </c>
      <c r="AL126" s="7" t="s">
        <v>90</v>
      </c>
      <c r="AM126" s="9"/>
      <c r="AN126" s="22">
        <v>5.6</v>
      </c>
    </row>
    <row r="127" spans="1:40">
      <c r="A127" s="6" cm="1">
        <f t="array" ref="A127">IF(COUNTIF(B$2:B127,B127)&gt;1,INDEX(A$1:A126,MATCH(B127,B$1:B126,0)),MAX(A$1:A126)+1)</f>
        <v>26</v>
      </c>
      <c r="B127" s="7" t="s">
        <v>513</v>
      </c>
      <c r="C127" s="3" t="s">
        <v>514</v>
      </c>
      <c r="D127" s="8" t="s">
        <v>526</v>
      </c>
      <c r="E127" s="7" t="s">
        <v>527</v>
      </c>
      <c r="F127" s="7" t="s">
        <v>528</v>
      </c>
      <c r="G127" s="7" t="s">
        <v>140</v>
      </c>
      <c r="H127" s="7" t="s">
        <v>111</v>
      </c>
      <c r="I127" s="7" t="s">
        <v>112</v>
      </c>
      <c r="J127" s="7" t="s">
        <v>79</v>
      </c>
      <c r="K127" s="7" t="s">
        <v>113</v>
      </c>
      <c r="L127" s="7" t="s">
        <v>529</v>
      </c>
      <c r="M127" s="7" t="s">
        <v>115</v>
      </c>
      <c r="N127" s="15"/>
      <c r="O127" s="13"/>
      <c r="P127" s="13"/>
      <c r="Q127" s="13"/>
      <c r="R127" s="13"/>
      <c r="S127" s="13">
        <v>67.6</v>
      </c>
      <c r="T127" s="13">
        <v>8.6</v>
      </c>
      <c r="U127" s="13">
        <v>422.8</v>
      </c>
      <c r="V127" s="13">
        <v>1111.9</v>
      </c>
      <c r="W127" s="13" t="s">
        <v>115</v>
      </c>
      <c r="X127" s="13" t="s">
        <v>116</v>
      </c>
      <c r="Y127" s="13" t="s">
        <v>330</v>
      </c>
      <c r="Z127" s="17">
        <v>3</v>
      </c>
      <c r="AA127" s="17">
        <v>2</v>
      </c>
      <c r="AB127" s="13" t="s">
        <v>261</v>
      </c>
      <c r="AC127" s="13">
        <v>-15.613071</v>
      </c>
      <c r="AD127" s="13">
        <v>27.954268</v>
      </c>
      <c r="AE127" s="7" t="s">
        <v>519</v>
      </c>
      <c r="AF127" s="7"/>
      <c r="AG127" s="7" t="s">
        <v>520</v>
      </c>
      <c r="AH127" s="7" t="s">
        <v>247</v>
      </c>
      <c r="AI127" s="21" t="s">
        <v>521</v>
      </c>
      <c r="AJ127" s="7" t="s">
        <v>152</v>
      </c>
      <c r="AK127" s="7" t="s">
        <v>89</v>
      </c>
      <c r="AL127" s="7" t="s">
        <v>90</v>
      </c>
      <c r="AM127" s="7"/>
      <c r="AN127" s="22">
        <v>1.83</v>
      </c>
    </row>
    <row r="128" spans="1:40">
      <c r="A128" s="6" cm="1">
        <f t="array" ref="A128">IF(COUNTIF(B$2:B128,B128)&gt;1,INDEX(A$1:A127,MATCH(B128,B$1:B127,0)),MAX(A$1:A127)+1)</f>
        <v>26</v>
      </c>
      <c r="B128" s="9" t="s">
        <v>513</v>
      </c>
      <c r="C128" s="10" t="s">
        <v>514</v>
      </c>
      <c r="D128" s="11" t="s">
        <v>331</v>
      </c>
      <c r="E128" s="9" t="s">
        <v>124</v>
      </c>
      <c r="F128" s="9" t="s">
        <v>332</v>
      </c>
      <c r="G128" s="9" t="s">
        <v>140</v>
      </c>
      <c r="H128" s="9" t="s">
        <v>111</v>
      </c>
      <c r="I128" s="9" t="s">
        <v>112</v>
      </c>
      <c r="J128" s="9" t="s">
        <v>79</v>
      </c>
      <c r="K128" s="9" t="s">
        <v>113</v>
      </c>
      <c r="L128" s="9" t="s">
        <v>333</v>
      </c>
      <c r="M128" s="9" t="s">
        <v>115</v>
      </c>
      <c r="N128" s="12"/>
      <c r="O128" s="14">
        <v>195</v>
      </c>
      <c r="P128" s="14">
        <v>325</v>
      </c>
      <c r="Q128" s="14"/>
      <c r="R128" s="14"/>
      <c r="S128" s="14">
        <v>43.4</v>
      </c>
      <c r="T128" s="14">
        <v>4</v>
      </c>
      <c r="U128" s="14">
        <v>291.2</v>
      </c>
      <c r="V128" s="14">
        <v>284</v>
      </c>
      <c r="W128" s="14" t="s">
        <v>115</v>
      </c>
      <c r="X128" s="14" t="s">
        <v>116</v>
      </c>
      <c r="Y128" s="14" t="s">
        <v>149</v>
      </c>
      <c r="Z128" s="18">
        <v>3</v>
      </c>
      <c r="AA128" s="18">
        <v>2</v>
      </c>
      <c r="AB128" s="14" t="s">
        <v>261</v>
      </c>
      <c r="AC128" s="14">
        <v>-15.613071</v>
      </c>
      <c r="AD128" s="14">
        <v>27.954268</v>
      </c>
      <c r="AE128" s="9" t="s">
        <v>519</v>
      </c>
      <c r="AF128" s="9"/>
      <c r="AG128" s="9" t="s">
        <v>520</v>
      </c>
      <c r="AH128" s="7" t="s">
        <v>247</v>
      </c>
      <c r="AI128" s="6" t="s">
        <v>521</v>
      </c>
      <c r="AJ128" s="7" t="s">
        <v>152</v>
      </c>
      <c r="AK128" s="7" t="s">
        <v>89</v>
      </c>
      <c r="AL128" s="7" t="s">
        <v>90</v>
      </c>
      <c r="AM128" s="9"/>
      <c r="AN128" s="22">
        <v>1</v>
      </c>
    </row>
    <row r="129" spans="1:40">
      <c r="A129" s="6" cm="1">
        <f t="array" ref="A129">IF(COUNTIF(B$2:B129,B129)&gt;1,INDEX(A$1:A128,MATCH(B129,B$1:B128,0)),MAX(A$1:A128)+1)</f>
        <v>26</v>
      </c>
      <c r="B129" s="7" t="s">
        <v>513</v>
      </c>
      <c r="C129" s="3" t="s">
        <v>514</v>
      </c>
      <c r="D129" s="8" t="s">
        <v>530</v>
      </c>
      <c r="E129" s="7" t="s">
        <v>108</v>
      </c>
      <c r="F129" s="7" t="s">
        <v>531</v>
      </c>
      <c r="G129" s="7" t="s">
        <v>126</v>
      </c>
      <c r="H129" s="7" t="s">
        <v>532</v>
      </c>
      <c r="I129" s="7"/>
      <c r="J129" s="7" t="s">
        <v>79</v>
      </c>
      <c r="K129" s="7" t="s">
        <v>113</v>
      </c>
      <c r="L129" s="7" t="s">
        <v>533</v>
      </c>
      <c r="M129" s="7" t="s">
        <v>115</v>
      </c>
      <c r="N129" s="15">
        <v>4080</v>
      </c>
      <c r="O129" s="13"/>
      <c r="P129" s="13">
        <v>220</v>
      </c>
      <c r="Q129" s="13"/>
      <c r="R129" s="13"/>
      <c r="S129" s="13">
        <v>63.3</v>
      </c>
      <c r="T129" s="13">
        <v>8.6</v>
      </c>
      <c r="U129" s="13">
        <v>244.4</v>
      </c>
      <c r="V129" s="13">
        <v>366</v>
      </c>
      <c r="W129" s="13" t="s">
        <v>115</v>
      </c>
      <c r="X129" s="13" t="s">
        <v>81</v>
      </c>
      <c r="Y129" s="13" t="s">
        <v>172</v>
      </c>
      <c r="Z129" s="17">
        <v>3</v>
      </c>
      <c r="AA129" s="17">
        <v>2</v>
      </c>
      <c r="AB129" s="13" t="s">
        <v>84</v>
      </c>
      <c r="AC129" s="13">
        <v>-15.613071</v>
      </c>
      <c r="AD129" s="13">
        <v>27.954268</v>
      </c>
      <c r="AE129" s="7" t="s">
        <v>519</v>
      </c>
      <c r="AF129" s="7"/>
      <c r="AG129" s="7" t="s">
        <v>520</v>
      </c>
      <c r="AH129" s="7" t="s">
        <v>247</v>
      </c>
      <c r="AI129" s="21" t="s">
        <v>521</v>
      </c>
      <c r="AJ129" s="7" t="s">
        <v>152</v>
      </c>
      <c r="AK129" s="7" t="s">
        <v>89</v>
      </c>
      <c r="AL129" s="7" t="s">
        <v>90</v>
      </c>
      <c r="AM129" s="7"/>
      <c r="AN129" s="22">
        <v>3</v>
      </c>
    </row>
    <row r="130" spans="1:40">
      <c r="A130" s="6" cm="1">
        <f t="array" ref="A130">IF(COUNTIF(B$2:B130,B130)&gt;1,INDEX(A$1:A129,MATCH(B130,B$1:B129,0)),MAX(A$1:A129)+1)</f>
        <v>27</v>
      </c>
      <c r="B130" s="7" t="s">
        <v>534</v>
      </c>
      <c r="C130" s="3" t="s">
        <v>535</v>
      </c>
      <c r="D130" s="8" t="s">
        <v>526</v>
      </c>
      <c r="E130" s="7" t="s">
        <v>527</v>
      </c>
      <c r="F130" s="7" t="s">
        <v>528</v>
      </c>
      <c r="G130" s="7" t="s">
        <v>140</v>
      </c>
      <c r="H130" s="7" t="s">
        <v>111</v>
      </c>
      <c r="I130" s="7" t="s">
        <v>112</v>
      </c>
      <c r="J130" s="7" t="s">
        <v>79</v>
      </c>
      <c r="K130" s="7" t="s">
        <v>113</v>
      </c>
      <c r="L130" s="7" t="s">
        <v>529</v>
      </c>
      <c r="M130" s="7" t="s">
        <v>115</v>
      </c>
      <c r="N130" s="15"/>
      <c r="O130" s="13"/>
      <c r="P130" s="13"/>
      <c r="Q130" s="13"/>
      <c r="R130" s="13"/>
      <c r="S130" s="13">
        <v>67.6</v>
      </c>
      <c r="T130" s="13">
        <v>8.6</v>
      </c>
      <c r="U130" s="13">
        <v>422.8</v>
      </c>
      <c r="V130" s="13">
        <v>1111.9</v>
      </c>
      <c r="W130" s="13" t="s">
        <v>115</v>
      </c>
      <c r="X130" s="13" t="s">
        <v>116</v>
      </c>
      <c r="Y130" s="13" t="s">
        <v>330</v>
      </c>
      <c r="Z130" s="17">
        <v>3</v>
      </c>
      <c r="AA130" s="17">
        <v>2</v>
      </c>
      <c r="AB130" s="13" t="s">
        <v>261</v>
      </c>
      <c r="AC130" s="13">
        <v>-7.840758</v>
      </c>
      <c r="AD130" s="13">
        <v>37.027088</v>
      </c>
      <c r="AE130" s="7" t="s">
        <v>536</v>
      </c>
      <c r="AF130" s="7"/>
      <c r="AG130" s="7" t="s">
        <v>537</v>
      </c>
      <c r="AH130" s="7" t="s">
        <v>247</v>
      </c>
      <c r="AI130" s="21" t="s">
        <v>538</v>
      </c>
      <c r="AJ130" s="7" t="s">
        <v>152</v>
      </c>
      <c r="AK130" s="7" t="s">
        <v>97</v>
      </c>
      <c r="AL130" s="7" t="s">
        <v>90</v>
      </c>
      <c r="AM130" s="7" t="s">
        <v>99</v>
      </c>
      <c r="AN130" s="22">
        <v>0.2667</v>
      </c>
    </row>
    <row r="131" spans="1:40">
      <c r="A131" s="6" cm="1">
        <f t="array" ref="A131">IF(COUNTIF(B$2:B131,B131)&gt;1,INDEX(A$1:A130,MATCH(B131,B$1:B130,0)),MAX(A$1:A130)+1)</f>
        <v>27</v>
      </c>
      <c r="B131" s="9" t="s">
        <v>534</v>
      </c>
      <c r="C131" s="10" t="s">
        <v>535</v>
      </c>
      <c r="D131" s="11" t="s">
        <v>539</v>
      </c>
      <c r="E131" s="9" t="s">
        <v>108</v>
      </c>
      <c r="F131" s="9" t="s">
        <v>540</v>
      </c>
      <c r="G131" s="9" t="s">
        <v>140</v>
      </c>
      <c r="H131" s="9" t="s">
        <v>111</v>
      </c>
      <c r="I131" s="9" t="s">
        <v>112</v>
      </c>
      <c r="J131" s="9" t="s">
        <v>79</v>
      </c>
      <c r="K131" s="9" t="s">
        <v>113</v>
      </c>
      <c r="L131" s="9" t="s">
        <v>541</v>
      </c>
      <c r="M131" s="9" t="s">
        <v>115</v>
      </c>
      <c r="N131" s="12"/>
      <c r="O131" s="14"/>
      <c r="P131" s="14"/>
      <c r="Q131" s="14"/>
      <c r="R131" s="14"/>
      <c r="S131" s="14">
        <v>62.3</v>
      </c>
      <c r="T131" s="14">
        <v>7.9</v>
      </c>
      <c r="U131" s="14">
        <v>412.2</v>
      </c>
      <c r="V131" s="14">
        <v>762.4</v>
      </c>
      <c r="W131" s="14" t="s">
        <v>115</v>
      </c>
      <c r="X131" s="14" t="s">
        <v>116</v>
      </c>
      <c r="Y131" s="14" t="s">
        <v>330</v>
      </c>
      <c r="Z131" s="18">
        <v>3</v>
      </c>
      <c r="AA131" s="18">
        <v>2</v>
      </c>
      <c r="AB131" s="14" t="s">
        <v>261</v>
      </c>
      <c r="AC131" s="14">
        <v>-7.840758</v>
      </c>
      <c r="AD131" s="14">
        <v>37.027088</v>
      </c>
      <c r="AE131" s="9" t="s">
        <v>536</v>
      </c>
      <c r="AF131" s="9"/>
      <c r="AG131" s="9" t="s">
        <v>537</v>
      </c>
      <c r="AH131" s="7" t="s">
        <v>247</v>
      </c>
      <c r="AI131" s="6" t="s">
        <v>538</v>
      </c>
      <c r="AJ131" s="7" t="s">
        <v>152</v>
      </c>
      <c r="AK131" s="7" t="s">
        <v>97</v>
      </c>
      <c r="AL131" s="7" t="s">
        <v>90</v>
      </c>
      <c r="AM131" s="7" t="s">
        <v>99</v>
      </c>
      <c r="AN131" s="22">
        <v>0.4677</v>
      </c>
    </row>
    <row r="132" spans="1:40">
      <c r="A132" s="6" cm="1">
        <f t="array" ref="A132">IF(COUNTIF(B$2:B132,B132)&gt;1,INDEX(A$1:A131,MATCH(B132,B$1:B131,0)),MAX(A$1:A131)+1)</f>
        <v>27</v>
      </c>
      <c r="B132" s="7" t="s">
        <v>534</v>
      </c>
      <c r="C132" s="3" t="s">
        <v>535</v>
      </c>
      <c r="D132" s="8" t="s">
        <v>542</v>
      </c>
      <c r="E132" s="7" t="s">
        <v>108</v>
      </c>
      <c r="F132" s="7" t="s">
        <v>543</v>
      </c>
      <c r="G132" s="7" t="s">
        <v>544</v>
      </c>
      <c r="H132" s="7" t="s">
        <v>545</v>
      </c>
      <c r="I132" s="7" t="s">
        <v>112</v>
      </c>
      <c r="J132" s="7" t="s">
        <v>79</v>
      </c>
      <c r="K132" s="7" t="s">
        <v>113</v>
      </c>
      <c r="L132" s="7" t="s">
        <v>546</v>
      </c>
      <c r="M132" s="7" t="s">
        <v>115</v>
      </c>
      <c r="N132" s="15">
        <v>3500</v>
      </c>
      <c r="O132" s="13">
        <v>5000</v>
      </c>
      <c r="P132" s="13">
        <v>10000</v>
      </c>
      <c r="Q132" s="13">
        <v>100</v>
      </c>
      <c r="R132" s="13">
        <v>115</v>
      </c>
      <c r="S132" s="13">
        <v>189.1</v>
      </c>
      <c r="T132" s="13">
        <v>23.5</v>
      </c>
      <c r="U132" s="13">
        <v>565.6</v>
      </c>
      <c r="V132" s="13">
        <v>3445.8</v>
      </c>
      <c r="W132" s="13" t="s">
        <v>115</v>
      </c>
      <c r="X132" s="13" t="s">
        <v>81</v>
      </c>
      <c r="Y132" s="13" t="s">
        <v>382</v>
      </c>
      <c r="Z132" s="17">
        <v>3</v>
      </c>
      <c r="AA132" s="17">
        <v>3</v>
      </c>
      <c r="AB132" s="13" t="s">
        <v>84</v>
      </c>
      <c r="AC132" s="13">
        <v>-7.840758</v>
      </c>
      <c r="AD132" s="13">
        <v>37.027088</v>
      </c>
      <c r="AE132" s="7" t="s">
        <v>536</v>
      </c>
      <c r="AF132" s="7"/>
      <c r="AG132" s="7" t="s">
        <v>537</v>
      </c>
      <c r="AH132" s="7" t="s">
        <v>247</v>
      </c>
      <c r="AI132" s="21" t="s">
        <v>538</v>
      </c>
      <c r="AJ132" s="7" t="s">
        <v>152</v>
      </c>
      <c r="AK132" s="7" t="s">
        <v>97</v>
      </c>
      <c r="AL132" s="7" t="s">
        <v>90</v>
      </c>
      <c r="AM132" s="7" t="s">
        <v>99</v>
      </c>
      <c r="AN132" s="22">
        <v>1.2222</v>
      </c>
    </row>
    <row r="133" spans="1:40">
      <c r="A133" s="6" cm="1">
        <f t="array" ref="A133">IF(COUNTIF(B$2:B133,B133)&gt;1,INDEX(A$1:A132,MATCH(B133,B$1:B132,0)),MAX(A$1:A132)+1)</f>
        <v>28</v>
      </c>
      <c r="B133" s="9" t="s">
        <v>547</v>
      </c>
      <c r="C133" s="10" t="s">
        <v>548</v>
      </c>
      <c r="D133" s="11" t="s">
        <v>549</v>
      </c>
      <c r="E133" s="9" t="s">
        <v>108</v>
      </c>
      <c r="F133" s="9" t="s">
        <v>550</v>
      </c>
      <c r="G133" s="9" t="s">
        <v>183</v>
      </c>
      <c r="H133" s="9" t="s">
        <v>423</v>
      </c>
      <c r="I133" s="9"/>
      <c r="J133" s="9" t="s">
        <v>79</v>
      </c>
      <c r="K133" s="9" t="s">
        <v>185</v>
      </c>
      <c r="L133" s="9" t="s">
        <v>449</v>
      </c>
      <c r="M133" s="9" t="s">
        <v>129</v>
      </c>
      <c r="N133" s="12"/>
      <c r="O133" s="14"/>
      <c r="P133" s="14"/>
      <c r="Q133" s="14"/>
      <c r="R133" s="14"/>
      <c r="S133" s="14">
        <v>13.7</v>
      </c>
      <c r="T133" s="14">
        <v>2.3</v>
      </c>
      <c r="U133" s="14">
        <v>119</v>
      </c>
      <c r="V133" s="14">
        <v>25.2</v>
      </c>
      <c r="W133" s="14" t="s">
        <v>115</v>
      </c>
      <c r="X133" s="14" t="s">
        <v>116</v>
      </c>
      <c r="Y133" s="14" t="s">
        <v>117</v>
      </c>
      <c r="Z133" s="18">
        <v>3</v>
      </c>
      <c r="AA133" s="18">
        <v>3</v>
      </c>
      <c r="AB133" s="14" t="s">
        <v>118</v>
      </c>
      <c r="AC133" s="14">
        <v>9.104669</v>
      </c>
      <c r="AD133" s="14">
        <v>40.248279</v>
      </c>
      <c r="AE133" s="9" t="s">
        <v>551</v>
      </c>
      <c r="AF133" s="9"/>
      <c r="AG133" s="9" t="s">
        <v>552</v>
      </c>
      <c r="AH133" s="7" t="s">
        <v>247</v>
      </c>
      <c r="AI133" s="6">
        <v>2019</v>
      </c>
      <c r="AJ133" s="9" t="s">
        <v>175</v>
      </c>
      <c r="AK133" s="9" t="s">
        <v>351</v>
      </c>
      <c r="AL133" s="7" t="s">
        <v>90</v>
      </c>
      <c r="AM133" s="9" t="s">
        <v>553</v>
      </c>
      <c r="AN133" s="22">
        <v>1.86</v>
      </c>
    </row>
    <row r="134" spans="1:40">
      <c r="A134" s="6" cm="1">
        <f t="array" ref="A134">IF(COUNTIF(B$2:B134,B134)&gt;1,INDEX(A$1:A133,MATCH(B134,B$1:B133,0)),MAX(A$1:A133)+1)</f>
        <v>29</v>
      </c>
      <c r="B134" s="7" t="s">
        <v>554</v>
      </c>
      <c r="C134" s="3" t="s">
        <v>555</v>
      </c>
      <c r="D134" s="8" t="s">
        <v>180</v>
      </c>
      <c r="E134" s="7" t="s">
        <v>181</v>
      </c>
      <c r="F134" s="7" t="s">
        <v>182</v>
      </c>
      <c r="G134" s="7" t="s">
        <v>183</v>
      </c>
      <c r="H134" s="7" t="s">
        <v>184</v>
      </c>
      <c r="I134" s="7" t="s">
        <v>160</v>
      </c>
      <c r="J134" s="7" t="s">
        <v>79</v>
      </c>
      <c r="K134" s="7" t="s">
        <v>185</v>
      </c>
      <c r="L134" s="7" t="s">
        <v>186</v>
      </c>
      <c r="M134" s="7" t="s">
        <v>129</v>
      </c>
      <c r="N134" s="15">
        <v>300</v>
      </c>
      <c r="O134" s="13">
        <v>450</v>
      </c>
      <c r="P134" s="13">
        <v>1000</v>
      </c>
      <c r="Q134" s="13">
        <v>45</v>
      </c>
      <c r="R134" s="13">
        <v>50</v>
      </c>
      <c r="S134" s="13">
        <v>41.3</v>
      </c>
      <c r="T134" s="13">
        <v>11.9</v>
      </c>
      <c r="U134" s="13">
        <v>321.1</v>
      </c>
      <c r="V134" s="13">
        <v>611.9</v>
      </c>
      <c r="W134" s="13" t="s">
        <v>115</v>
      </c>
      <c r="X134" s="13" t="s">
        <v>116</v>
      </c>
      <c r="Y134" s="13" t="s">
        <v>117</v>
      </c>
      <c r="Z134" s="17">
        <v>3</v>
      </c>
      <c r="AA134" s="17">
        <v>3</v>
      </c>
      <c r="AB134" s="13" t="s">
        <v>136</v>
      </c>
      <c r="AC134" s="13">
        <v>-56.098187</v>
      </c>
      <c r="AD134" s="13">
        <v>54.381723</v>
      </c>
      <c r="AE134" s="7" t="s">
        <v>556</v>
      </c>
      <c r="AF134" s="7"/>
      <c r="AG134" s="7" t="s">
        <v>383</v>
      </c>
      <c r="AH134" s="7" t="s">
        <v>96</v>
      </c>
      <c r="AI134" s="21">
        <v>2014</v>
      </c>
      <c r="AJ134" s="7" t="s">
        <v>152</v>
      </c>
      <c r="AK134" s="20" t="s">
        <v>97</v>
      </c>
      <c r="AL134" s="20" t="s">
        <v>557</v>
      </c>
      <c r="AM134" s="20" t="s">
        <v>558</v>
      </c>
      <c r="AN134" s="22">
        <v>5.9</v>
      </c>
    </row>
    <row r="135" spans="1:40">
      <c r="A135" s="6" cm="1">
        <f t="array" ref="A135">IF(COUNTIF(B$2:B135,B135)&gt;1,INDEX(A$1:A134,MATCH(B135,B$1:B134,0)),MAX(A$1:A134)+1)</f>
        <v>29</v>
      </c>
      <c r="B135" s="9" t="s">
        <v>554</v>
      </c>
      <c r="C135" s="10" t="s">
        <v>555</v>
      </c>
      <c r="D135" s="11" t="s">
        <v>180</v>
      </c>
      <c r="E135" s="9" t="s">
        <v>181</v>
      </c>
      <c r="F135" s="9" t="s">
        <v>182</v>
      </c>
      <c r="G135" s="9" t="s">
        <v>183</v>
      </c>
      <c r="H135" s="9" t="s">
        <v>184</v>
      </c>
      <c r="I135" s="9" t="s">
        <v>160</v>
      </c>
      <c r="J135" s="9" t="s">
        <v>79</v>
      </c>
      <c r="K135" s="9" t="s">
        <v>185</v>
      </c>
      <c r="L135" s="9" t="s">
        <v>186</v>
      </c>
      <c r="M135" s="9" t="s">
        <v>129</v>
      </c>
      <c r="N135" s="12">
        <v>300</v>
      </c>
      <c r="O135" s="14">
        <v>450</v>
      </c>
      <c r="P135" s="14">
        <v>1000</v>
      </c>
      <c r="Q135" s="14">
        <v>45</v>
      </c>
      <c r="R135" s="14">
        <v>50</v>
      </c>
      <c r="S135" s="14">
        <v>41.3</v>
      </c>
      <c r="T135" s="14">
        <v>11.9</v>
      </c>
      <c r="U135" s="14">
        <v>321.1</v>
      </c>
      <c r="V135" s="14">
        <v>611.9</v>
      </c>
      <c r="W135" s="14" t="s">
        <v>115</v>
      </c>
      <c r="X135" s="14" t="s">
        <v>116</v>
      </c>
      <c r="Y135" s="14" t="s">
        <v>117</v>
      </c>
      <c r="Z135" s="18">
        <v>3</v>
      </c>
      <c r="AA135" s="18">
        <v>3</v>
      </c>
      <c r="AB135" s="14" t="s">
        <v>136</v>
      </c>
      <c r="AC135" s="14">
        <v>-56.098187</v>
      </c>
      <c r="AD135" s="14">
        <v>54.381723</v>
      </c>
      <c r="AE135" s="9" t="s">
        <v>556</v>
      </c>
      <c r="AF135" s="9"/>
      <c r="AG135" s="7" t="s">
        <v>383</v>
      </c>
      <c r="AH135" s="7" t="s">
        <v>96</v>
      </c>
      <c r="AI135" s="6">
        <v>2015</v>
      </c>
      <c r="AJ135" s="7" t="s">
        <v>152</v>
      </c>
      <c r="AK135" s="20" t="s">
        <v>97</v>
      </c>
      <c r="AL135" s="20" t="s">
        <v>557</v>
      </c>
      <c r="AM135" s="20" t="s">
        <v>558</v>
      </c>
      <c r="AN135" s="22">
        <v>18.7</v>
      </c>
    </row>
    <row r="136" spans="1:40">
      <c r="A136" s="6" cm="1">
        <f t="array" ref="A136">IF(COUNTIF(B$2:B136,B136)&gt;1,INDEX(A$1:A135,MATCH(B136,B$1:B135,0)),MAX(A$1:A135)+1)</f>
        <v>30</v>
      </c>
      <c r="B136" s="9" t="s">
        <v>559</v>
      </c>
      <c r="C136" s="10" t="s">
        <v>560</v>
      </c>
      <c r="D136" s="11" t="s">
        <v>180</v>
      </c>
      <c r="E136" s="9" t="s">
        <v>181</v>
      </c>
      <c r="F136" s="9" t="s">
        <v>182</v>
      </c>
      <c r="G136" s="9" t="s">
        <v>183</v>
      </c>
      <c r="H136" s="9" t="s">
        <v>184</v>
      </c>
      <c r="I136" s="9" t="s">
        <v>160</v>
      </c>
      <c r="J136" s="9" t="s">
        <v>79</v>
      </c>
      <c r="K136" s="9" t="s">
        <v>185</v>
      </c>
      <c r="L136" s="9" t="s">
        <v>186</v>
      </c>
      <c r="M136" s="9" t="s">
        <v>129</v>
      </c>
      <c r="N136" s="12">
        <v>300</v>
      </c>
      <c r="O136" s="14">
        <v>450</v>
      </c>
      <c r="P136" s="14">
        <v>1000</v>
      </c>
      <c r="Q136" s="14">
        <v>45</v>
      </c>
      <c r="R136" s="14">
        <v>50</v>
      </c>
      <c r="S136" s="14">
        <v>41.3</v>
      </c>
      <c r="T136" s="14">
        <v>11.9</v>
      </c>
      <c r="U136" s="14">
        <v>321.1</v>
      </c>
      <c r="V136" s="14">
        <v>611.9</v>
      </c>
      <c r="W136" s="14" t="s">
        <v>115</v>
      </c>
      <c r="X136" s="14" t="s">
        <v>116</v>
      </c>
      <c r="Y136" s="14" t="s">
        <v>117</v>
      </c>
      <c r="Z136" s="18">
        <v>3</v>
      </c>
      <c r="AA136" s="18">
        <v>3</v>
      </c>
      <c r="AB136" s="14" t="s">
        <v>136</v>
      </c>
      <c r="AC136" s="14">
        <v>-53.14187</v>
      </c>
      <c r="AD136" s="14">
        <v>54.206852</v>
      </c>
      <c r="AE136" s="9" t="s">
        <v>561</v>
      </c>
      <c r="AF136" s="9"/>
      <c r="AG136" s="7" t="s">
        <v>383</v>
      </c>
      <c r="AH136" s="7" t="s">
        <v>96</v>
      </c>
      <c r="AI136" s="6"/>
      <c r="AJ136" s="7" t="s">
        <v>240</v>
      </c>
      <c r="AK136" s="7" t="s">
        <v>351</v>
      </c>
      <c r="AL136" s="7" t="s">
        <v>98</v>
      </c>
      <c r="AM136" s="7" t="s">
        <v>562</v>
      </c>
      <c r="AN136" s="22">
        <v>1.9</v>
      </c>
    </row>
    <row r="137" spans="1:40">
      <c r="A137" s="6" cm="1">
        <f t="array" ref="A137">IF(COUNTIF(B$2:B137,B137)&gt;1,INDEX(A$1:A136,MATCH(B137,B$1:B136,0)),MAX(A$1:A136)+1)</f>
        <v>30</v>
      </c>
      <c r="B137" s="7" t="s">
        <v>559</v>
      </c>
      <c r="C137" s="3" t="s">
        <v>560</v>
      </c>
      <c r="D137" s="8" t="s">
        <v>180</v>
      </c>
      <c r="E137" s="7" t="s">
        <v>181</v>
      </c>
      <c r="F137" s="7" t="s">
        <v>182</v>
      </c>
      <c r="G137" s="7" t="s">
        <v>183</v>
      </c>
      <c r="H137" s="7" t="s">
        <v>184</v>
      </c>
      <c r="I137" s="7" t="s">
        <v>160</v>
      </c>
      <c r="J137" s="7" t="s">
        <v>79</v>
      </c>
      <c r="K137" s="7" t="s">
        <v>185</v>
      </c>
      <c r="L137" s="7" t="s">
        <v>186</v>
      </c>
      <c r="M137" s="7" t="s">
        <v>129</v>
      </c>
      <c r="N137" s="15">
        <v>300</v>
      </c>
      <c r="O137" s="13">
        <v>450</v>
      </c>
      <c r="P137" s="13">
        <v>1000</v>
      </c>
      <c r="Q137" s="13">
        <v>45</v>
      </c>
      <c r="R137" s="13">
        <v>50</v>
      </c>
      <c r="S137" s="13">
        <v>41.3</v>
      </c>
      <c r="T137" s="13">
        <v>11.9</v>
      </c>
      <c r="U137" s="13">
        <v>321.1</v>
      </c>
      <c r="V137" s="13">
        <v>611.9</v>
      </c>
      <c r="W137" s="13" t="s">
        <v>115</v>
      </c>
      <c r="X137" s="13" t="s">
        <v>116</v>
      </c>
      <c r="Y137" s="13" t="s">
        <v>117</v>
      </c>
      <c r="Z137" s="17">
        <v>3</v>
      </c>
      <c r="AA137" s="17">
        <v>3</v>
      </c>
      <c r="AB137" s="13" t="s">
        <v>136</v>
      </c>
      <c r="AC137" s="13">
        <v>-53.14187</v>
      </c>
      <c r="AD137" s="13">
        <v>54.206852</v>
      </c>
      <c r="AE137" s="7" t="s">
        <v>561</v>
      </c>
      <c r="AF137" s="7"/>
      <c r="AG137" s="7" t="s">
        <v>383</v>
      </c>
      <c r="AH137" s="7" t="s">
        <v>96</v>
      </c>
      <c r="AI137" s="21"/>
      <c r="AJ137" s="7" t="s">
        <v>152</v>
      </c>
      <c r="AK137" s="7" t="s">
        <v>351</v>
      </c>
      <c r="AL137" s="7" t="s">
        <v>98</v>
      </c>
      <c r="AM137" s="7" t="s">
        <v>562</v>
      </c>
      <c r="AN137" s="22">
        <v>22</v>
      </c>
    </row>
    <row r="138" spans="1:40">
      <c r="A138" s="6" cm="1">
        <f t="array" ref="A138">IF(COUNTIF(B$2:B138,B138)&gt;1,INDEX(A$1:A137,MATCH(B138,B$1:B137,0)),MAX(A$1:A137)+1)</f>
        <v>31</v>
      </c>
      <c r="B138" s="7" t="s">
        <v>563</v>
      </c>
      <c r="C138" s="3" t="s">
        <v>564</v>
      </c>
      <c r="D138" s="8" t="s">
        <v>565</v>
      </c>
      <c r="E138" s="7" t="s">
        <v>501</v>
      </c>
      <c r="F138" s="7" t="s">
        <v>566</v>
      </c>
      <c r="G138" s="7" t="s">
        <v>183</v>
      </c>
      <c r="H138" s="7" t="s">
        <v>184</v>
      </c>
      <c r="I138" s="7" t="s">
        <v>112</v>
      </c>
      <c r="J138" s="7" t="s">
        <v>79</v>
      </c>
      <c r="K138" s="7" t="s">
        <v>185</v>
      </c>
      <c r="L138" s="7" t="s">
        <v>567</v>
      </c>
      <c r="M138" s="7" t="s">
        <v>129</v>
      </c>
      <c r="N138" s="15"/>
      <c r="O138" s="13"/>
      <c r="P138" s="13"/>
      <c r="Q138" s="13"/>
      <c r="R138" s="13"/>
      <c r="S138" s="13">
        <v>37.2</v>
      </c>
      <c r="T138" s="13">
        <v>6.5</v>
      </c>
      <c r="U138" s="13">
        <v>262.2</v>
      </c>
      <c r="V138" s="13">
        <v>559</v>
      </c>
      <c r="W138" s="13" t="s">
        <v>115</v>
      </c>
      <c r="X138" s="13" t="s">
        <v>116</v>
      </c>
      <c r="Y138" s="13" t="s">
        <v>117</v>
      </c>
      <c r="Z138" s="17">
        <v>3</v>
      </c>
      <c r="AA138" s="17">
        <v>3</v>
      </c>
      <c r="AB138" s="13" t="s">
        <v>261</v>
      </c>
      <c r="AC138" s="13">
        <v>145.25</v>
      </c>
      <c r="AD138" s="13">
        <v>-38.4833333333333</v>
      </c>
      <c r="AE138" s="7" t="s">
        <v>568</v>
      </c>
      <c r="AF138" s="7"/>
      <c r="AG138" s="7" t="s">
        <v>569</v>
      </c>
      <c r="AH138" s="7" t="s">
        <v>570</v>
      </c>
      <c r="AI138" s="21" t="s">
        <v>571</v>
      </c>
      <c r="AJ138" s="7" t="s">
        <v>152</v>
      </c>
      <c r="AK138" s="7" t="s">
        <v>97</v>
      </c>
      <c r="AL138" s="7" t="s">
        <v>98</v>
      </c>
      <c r="AM138" s="7" t="s">
        <v>99</v>
      </c>
      <c r="AN138" s="22">
        <v>8.23</v>
      </c>
    </row>
    <row r="139" spans="1:40">
      <c r="A139" s="6" cm="1">
        <f t="array" ref="A139">IF(COUNTIF(B$2:B139,B139)&gt;1,INDEX(A$1:A138,MATCH(B139,B$1:B138,0)),MAX(A$1:A138)+1)</f>
        <v>31</v>
      </c>
      <c r="B139" s="9" t="s">
        <v>563</v>
      </c>
      <c r="C139" s="10" t="s">
        <v>564</v>
      </c>
      <c r="D139" s="11" t="s">
        <v>565</v>
      </c>
      <c r="E139" s="9" t="s">
        <v>501</v>
      </c>
      <c r="F139" s="9" t="s">
        <v>566</v>
      </c>
      <c r="G139" s="9" t="s">
        <v>183</v>
      </c>
      <c r="H139" s="9" t="s">
        <v>184</v>
      </c>
      <c r="I139" s="9" t="s">
        <v>112</v>
      </c>
      <c r="J139" s="9" t="s">
        <v>79</v>
      </c>
      <c r="K139" s="9" t="s">
        <v>185</v>
      </c>
      <c r="L139" s="9" t="s">
        <v>567</v>
      </c>
      <c r="M139" s="9" t="s">
        <v>129</v>
      </c>
      <c r="N139" s="12"/>
      <c r="O139" s="14"/>
      <c r="P139" s="14"/>
      <c r="Q139" s="14"/>
      <c r="R139" s="14"/>
      <c r="S139" s="14">
        <v>37.2</v>
      </c>
      <c r="T139" s="14">
        <v>6.5</v>
      </c>
      <c r="U139" s="14">
        <v>262.2</v>
      </c>
      <c r="V139" s="14">
        <v>559</v>
      </c>
      <c r="W139" s="14" t="s">
        <v>115</v>
      </c>
      <c r="X139" s="14" t="s">
        <v>116</v>
      </c>
      <c r="Y139" s="14" t="s">
        <v>117</v>
      </c>
      <c r="Z139" s="18">
        <v>3</v>
      </c>
      <c r="AA139" s="18">
        <v>3</v>
      </c>
      <c r="AB139" s="14" t="s">
        <v>261</v>
      </c>
      <c r="AC139" s="14">
        <v>145.25</v>
      </c>
      <c r="AD139" s="14">
        <v>-38.4833333333333</v>
      </c>
      <c r="AE139" s="9" t="s">
        <v>568</v>
      </c>
      <c r="AF139" s="9"/>
      <c r="AG139" s="7" t="s">
        <v>569</v>
      </c>
      <c r="AH139" s="7" t="s">
        <v>570</v>
      </c>
      <c r="AI139" s="6" t="s">
        <v>571</v>
      </c>
      <c r="AJ139" s="7" t="s">
        <v>152</v>
      </c>
      <c r="AK139" s="7" t="s">
        <v>97</v>
      </c>
      <c r="AL139" s="7" t="s">
        <v>98</v>
      </c>
      <c r="AM139" s="7" t="s">
        <v>99</v>
      </c>
      <c r="AN139" s="22">
        <v>7.11</v>
      </c>
    </row>
    <row r="140" spans="1:40">
      <c r="A140" s="6" cm="1">
        <f t="array" ref="A140">IF(COUNTIF(B$2:B140,B140)&gt;1,INDEX(A$1:A139,MATCH(B140,B$1:B139,0)),MAX(A$1:A139)+1)</f>
        <v>32</v>
      </c>
      <c r="B140" s="7" t="s">
        <v>572</v>
      </c>
      <c r="C140" s="3" t="s">
        <v>573</v>
      </c>
      <c r="D140" s="8" t="s">
        <v>574</v>
      </c>
      <c r="E140" s="7" t="s">
        <v>346</v>
      </c>
      <c r="F140" s="7" t="s">
        <v>347</v>
      </c>
      <c r="G140" s="7" t="s">
        <v>235</v>
      </c>
      <c r="H140" s="7" t="s">
        <v>348</v>
      </c>
      <c r="I140" s="7" t="s">
        <v>112</v>
      </c>
      <c r="J140" s="7" t="s">
        <v>79</v>
      </c>
      <c r="K140" s="7" t="s">
        <v>80</v>
      </c>
      <c r="L140" s="7"/>
      <c r="M140" s="7" t="s">
        <v>275</v>
      </c>
      <c r="N140" s="15">
        <v>50</v>
      </c>
      <c r="O140" s="13"/>
      <c r="P140" s="13">
        <v>19</v>
      </c>
      <c r="Q140" s="13"/>
      <c r="R140" s="13">
        <v>14</v>
      </c>
      <c r="S140" s="13">
        <v>10.8</v>
      </c>
      <c r="T140" s="13">
        <v>3.8</v>
      </c>
      <c r="U140" s="13">
        <v>115.9</v>
      </c>
      <c r="V140" s="13">
        <v>21.2</v>
      </c>
      <c r="W140" s="13" t="s">
        <v>115</v>
      </c>
      <c r="X140" s="13" t="s">
        <v>222</v>
      </c>
      <c r="Y140" s="13" t="s">
        <v>149</v>
      </c>
      <c r="Z140" s="17">
        <v>3</v>
      </c>
      <c r="AA140" s="17">
        <v>3</v>
      </c>
      <c r="AB140" s="13" t="s">
        <v>118</v>
      </c>
      <c r="AC140" s="13">
        <v>-80.0333333333333</v>
      </c>
      <c r="AD140" s="13">
        <v>43.45</v>
      </c>
      <c r="AE140" s="7" t="s">
        <v>575</v>
      </c>
      <c r="AF140" s="7"/>
      <c r="AG140" s="7" t="s">
        <v>383</v>
      </c>
      <c r="AH140" s="9" t="s">
        <v>96</v>
      </c>
      <c r="AI140" s="21">
        <v>2004</v>
      </c>
      <c r="AJ140" s="7" t="s">
        <v>152</v>
      </c>
      <c r="AK140" s="7" t="s">
        <v>89</v>
      </c>
      <c r="AL140" s="7" t="s">
        <v>576</v>
      </c>
      <c r="AM140" s="7" t="s">
        <v>577</v>
      </c>
      <c r="AN140" s="22">
        <v>11.3</v>
      </c>
    </row>
    <row r="141" spans="1:40">
      <c r="A141" s="6" cm="1">
        <f t="array" ref="A141">IF(COUNTIF(B$2:B141,B141)&gt;1,INDEX(A$1:A140,MATCH(B141,B$1:B140,0)),MAX(A$1:A140)+1)</f>
        <v>32</v>
      </c>
      <c r="B141" s="9" t="s">
        <v>572</v>
      </c>
      <c r="C141" s="10" t="s">
        <v>573</v>
      </c>
      <c r="D141" s="11" t="s">
        <v>574</v>
      </c>
      <c r="E141" s="9" t="s">
        <v>346</v>
      </c>
      <c r="F141" s="9" t="s">
        <v>347</v>
      </c>
      <c r="G141" s="9" t="s">
        <v>235</v>
      </c>
      <c r="H141" s="9" t="s">
        <v>348</v>
      </c>
      <c r="I141" s="9" t="s">
        <v>112</v>
      </c>
      <c r="J141" s="9" t="s">
        <v>79</v>
      </c>
      <c r="K141" s="9" t="s">
        <v>80</v>
      </c>
      <c r="L141" s="9"/>
      <c r="M141" s="9" t="s">
        <v>275</v>
      </c>
      <c r="N141" s="12">
        <v>50</v>
      </c>
      <c r="O141" s="14"/>
      <c r="P141" s="14">
        <v>19</v>
      </c>
      <c r="Q141" s="14"/>
      <c r="R141" s="14">
        <v>14</v>
      </c>
      <c r="S141" s="14">
        <v>10.8</v>
      </c>
      <c r="T141" s="14">
        <v>3.8</v>
      </c>
      <c r="U141" s="14">
        <v>115.9</v>
      </c>
      <c r="V141" s="14">
        <v>21.2</v>
      </c>
      <c r="W141" s="14" t="s">
        <v>115</v>
      </c>
      <c r="X141" s="14" t="s">
        <v>222</v>
      </c>
      <c r="Y141" s="14" t="s">
        <v>149</v>
      </c>
      <c r="Z141" s="18">
        <v>3</v>
      </c>
      <c r="AA141" s="18">
        <v>3</v>
      </c>
      <c r="AB141" s="14" t="s">
        <v>118</v>
      </c>
      <c r="AC141" s="14">
        <v>-80.0333333333333</v>
      </c>
      <c r="AD141" s="14">
        <v>43.45</v>
      </c>
      <c r="AE141" s="9" t="s">
        <v>575</v>
      </c>
      <c r="AF141" s="9"/>
      <c r="AG141" s="9" t="s">
        <v>383</v>
      </c>
      <c r="AH141" s="9" t="s">
        <v>96</v>
      </c>
      <c r="AI141" s="6">
        <v>2004</v>
      </c>
      <c r="AJ141" s="9" t="s">
        <v>152</v>
      </c>
      <c r="AK141" s="7" t="s">
        <v>89</v>
      </c>
      <c r="AL141" s="7" t="s">
        <v>576</v>
      </c>
      <c r="AM141" s="7" t="s">
        <v>577</v>
      </c>
      <c r="AN141" s="22">
        <v>5.1</v>
      </c>
    </row>
    <row r="142" spans="1:40">
      <c r="A142" s="6" cm="1">
        <f t="array" ref="A142">IF(COUNTIF(B$2:B142,B142)&gt;1,INDEX(A$1:A141,MATCH(B142,B$1:B141,0)),MAX(A$1:A141)+1)</f>
        <v>32</v>
      </c>
      <c r="B142" s="7" t="s">
        <v>572</v>
      </c>
      <c r="C142" s="3" t="s">
        <v>573</v>
      </c>
      <c r="D142" s="8" t="s">
        <v>574</v>
      </c>
      <c r="E142" s="7" t="s">
        <v>346</v>
      </c>
      <c r="F142" s="7" t="s">
        <v>347</v>
      </c>
      <c r="G142" s="7" t="s">
        <v>235</v>
      </c>
      <c r="H142" s="7" t="s">
        <v>348</v>
      </c>
      <c r="I142" s="7" t="s">
        <v>112</v>
      </c>
      <c r="J142" s="7" t="s">
        <v>79</v>
      </c>
      <c r="K142" s="7" t="s">
        <v>80</v>
      </c>
      <c r="L142" s="7"/>
      <c r="M142" s="7" t="s">
        <v>275</v>
      </c>
      <c r="N142" s="15">
        <v>50</v>
      </c>
      <c r="O142" s="13"/>
      <c r="P142" s="13">
        <v>19</v>
      </c>
      <c r="Q142" s="13"/>
      <c r="R142" s="13">
        <v>14</v>
      </c>
      <c r="S142" s="13">
        <v>10.8</v>
      </c>
      <c r="T142" s="13">
        <v>3.8</v>
      </c>
      <c r="U142" s="13">
        <v>115.9</v>
      </c>
      <c r="V142" s="13">
        <v>21.2</v>
      </c>
      <c r="W142" s="13" t="s">
        <v>115</v>
      </c>
      <c r="X142" s="13" t="s">
        <v>222</v>
      </c>
      <c r="Y142" s="13" t="s">
        <v>149</v>
      </c>
      <c r="Z142" s="17">
        <v>3</v>
      </c>
      <c r="AA142" s="17">
        <v>3</v>
      </c>
      <c r="AB142" s="13" t="s">
        <v>118</v>
      </c>
      <c r="AC142" s="13">
        <v>-80.0333333333333</v>
      </c>
      <c r="AD142" s="13">
        <v>43.45</v>
      </c>
      <c r="AE142" s="7" t="s">
        <v>575</v>
      </c>
      <c r="AF142" s="7"/>
      <c r="AG142" s="7" t="s">
        <v>383</v>
      </c>
      <c r="AH142" s="9" t="s">
        <v>96</v>
      </c>
      <c r="AI142" s="21">
        <v>2004</v>
      </c>
      <c r="AJ142" s="7" t="s">
        <v>191</v>
      </c>
      <c r="AK142" s="7" t="s">
        <v>89</v>
      </c>
      <c r="AL142" s="7" t="s">
        <v>576</v>
      </c>
      <c r="AM142" s="7" t="s">
        <v>577</v>
      </c>
      <c r="AN142" s="22">
        <v>5.9</v>
      </c>
    </row>
    <row r="143" spans="1:40">
      <c r="A143" s="6" cm="1">
        <f t="array" ref="A143">IF(COUNTIF(B$2:B143,B143)&gt;1,INDEX(A$1:A142,MATCH(B143,B$1:B142,0)),MAX(A$1:A142)+1)</f>
        <v>32</v>
      </c>
      <c r="B143" s="9" t="s">
        <v>572</v>
      </c>
      <c r="C143" s="10" t="s">
        <v>573</v>
      </c>
      <c r="D143" s="11" t="s">
        <v>574</v>
      </c>
      <c r="E143" s="9" t="s">
        <v>346</v>
      </c>
      <c r="F143" s="9" t="s">
        <v>347</v>
      </c>
      <c r="G143" s="9" t="s">
        <v>235</v>
      </c>
      <c r="H143" s="9" t="s">
        <v>348</v>
      </c>
      <c r="I143" s="9" t="s">
        <v>112</v>
      </c>
      <c r="J143" s="9" t="s">
        <v>79</v>
      </c>
      <c r="K143" s="9" t="s">
        <v>80</v>
      </c>
      <c r="L143" s="9"/>
      <c r="M143" s="9" t="s">
        <v>275</v>
      </c>
      <c r="N143" s="12">
        <v>50</v>
      </c>
      <c r="O143" s="14"/>
      <c r="P143" s="14">
        <v>19</v>
      </c>
      <c r="Q143" s="14"/>
      <c r="R143" s="14">
        <v>14</v>
      </c>
      <c r="S143" s="14">
        <v>10.8</v>
      </c>
      <c r="T143" s="14">
        <v>3.8</v>
      </c>
      <c r="U143" s="14">
        <v>115.9</v>
      </c>
      <c r="V143" s="14">
        <v>21.2</v>
      </c>
      <c r="W143" s="14" t="s">
        <v>115</v>
      </c>
      <c r="X143" s="14" t="s">
        <v>222</v>
      </c>
      <c r="Y143" s="14" t="s">
        <v>149</v>
      </c>
      <c r="Z143" s="18">
        <v>3</v>
      </c>
      <c r="AA143" s="18">
        <v>3</v>
      </c>
      <c r="AB143" s="14" t="s">
        <v>118</v>
      </c>
      <c r="AC143" s="14">
        <v>-80.0333333333333</v>
      </c>
      <c r="AD143" s="14">
        <v>43.45</v>
      </c>
      <c r="AE143" s="9" t="s">
        <v>575</v>
      </c>
      <c r="AF143" s="9"/>
      <c r="AG143" s="9" t="s">
        <v>383</v>
      </c>
      <c r="AH143" s="9" t="s">
        <v>96</v>
      </c>
      <c r="AI143" s="6">
        <v>2004</v>
      </c>
      <c r="AJ143" s="9" t="s">
        <v>191</v>
      </c>
      <c r="AK143" s="7" t="s">
        <v>89</v>
      </c>
      <c r="AL143" s="7" t="s">
        <v>576</v>
      </c>
      <c r="AM143" s="7" t="s">
        <v>577</v>
      </c>
      <c r="AN143" s="22">
        <v>8.7</v>
      </c>
    </row>
    <row r="144" spans="1:40">
      <c r="A144" s="6" cm="1">
        <f t="array" ref="A144">IF(COUNTIF(B$2:B144,B144)&gt;1,INDEX(A$1:A143,MATCH(B144,B$1:B143,0)),MAX(A$1:A143)+1)</f>
        <v>33</v>
      </c>
      <c r="B144" s="9" t="s">
        <v>578</v>
      </c>
      <c r="C144" s="10" t="s">
        <v>579</v>
      </c>
      <c r="D144" s="11" t="s">
        <v>580</v>
      </c>
      <c r="E144" s="9" t="s">
        <v>581</v>
      </c>
      <c r="F144" s="9" t="s">
        <v>582</v>
      </c>
      <c r="G144" s="9" t="s">
        <v>140</v>
      </c>
      <c r="H144" s="9" t="s">
        <v>111</v>
      </c>
      <c r="I144" s="9" t="s">
        <v>112</v>
      </c>
      <c r="J144" s="9" t="s">
        <v>79</v>
      </c>
      <c r="K144" s="9" t="s">
        <v>113</v>
      </c>
      <c r="L144" s="9" t="s">
        <v>583</v>
      </c>
      <c r="M144" s="9" t="s">
        <v>115</v>
      </c>
      <c r="N144" s="12">
        <v>100</v>
      </c>
      <c r="O144" s="14">
        <v>300</v>
      </c>
      <c r="P144" s="14">
        <v>700</v>
      </c>
      <c r="Q144" s="14">
        <v>43</v>
      </c>
      <c r="R144" s="14">
        <v>54</v>
      </c>
      <c r="S144" s="14">
        <v>48.1</v>
      </c>
      <c r="T144" s="14">
        <v>6.2</v>
      </c>
      <c r="U144" s="14">
        <v>366</v>
      </c>
      <c r="V144" s="14">
        <v>516.3</v>
      </c>
      <c r="W144" s="14" t="s">
        <v>115</v>
      </c>
      <c r="X144" s="14" t="s">
        <v>81</v>
      </c>
      <c r="Y144" s="14" t="s">
        <v>330</v>
      </c>
      <c r="Z144" s="18">
        <v>3</v>
      </c>
      <c r="AA144" s="18">
        <v>2</v>
      </c>
      <c r="AB144" s="14" t="s">
        <v>84</v>
      </c>
      <c r="AC144" s="14">
        <v>45.713</v>
      </c>
      <c r="AD144" s="14">
        <v>73.441</v>
      </c>
      <c r="AE144" s="9" t="s">
        <v>584</v>
      </c>
      <c r="AF144" s="9"/>
      <c r="AG144" s="9" t="s">
        <v>383</v>
      </c>
      <c r="AH144" s="9" t="s">
        <v>96</v>
      </c>
      <c r="AI144" s="6">
        <v>2016</v>
      </c>
      <c r="AJ144" s="9" t="s">
        <v>152</v>
      </c>
      <c r="AK144" s="9"/>
      <c r="AL144" s="9" t="s">
        <v>585</v>
      </c>
      <c r="AM144" s="9"/>
      <c r="AN144" s="22">
        <v>3.7</v>
      </c>
    </row>
    <row r="145" spans="1:40">
      <c r="A145" s="6" cm="1">
        <f t="array" ref="A145">IF(COUNTIF(B$2:B145,B145)&gt;1,INDEX(A$1:A144,MATCH(B145,B$1:B144,0)),MAX(A$1:A144)+1)</f>
        <v>34</v>
      </c>
      <c r="B145" s="9" t="s">
        <v>586</v>
      </c>
      <c r="C145" s="10" t="s">
        <v>587</v>
      </c>
      <c r="D145" s="11" t="s">
        <v>588</v>
      </c>
      <c r="E145" s="9" t="s">
        <v>138</v>
      </c>
      <c r="F145" s="9" t="s">
        <v>589</v>
      </c>
      <c r="G145" s="9" t="s">
        <v>203</v>
      </c>
      <c r="H145" s="9" t="s">
        <v>204</v>
      </c>
      <c r="I145" s="9" t="s">
        <v>112</v>
      </c>
      <c r="J145" s="9" t="s">
        <v>79</v>
      </c>
      <c r="K145" s="9" t="s">
        <v>80</v>
      </c>
      <c r="L145" s="9" t="s">
        <v>590</v>
      </c>
      <c r="M145" s="9" t="s">
        <v>115</v>
      </c>
      <c r="N145" s="12">
        <v>4900</v>
      </c>
      <c r="O145" s="14">
        <v>0</v>
      </c>
      <c r="P145" s="14">
        <v>540</v>
      </c>
      <c r="Q145" s="14">
        <v>47</v>
      </c>
      <c r="R145" s="14">
        <v>60</v>
      </c>
      <c r="S145" s="14">
        <v>40</v>
      </c>
      <c r="T145" s="14">
        <v>13</v>
      </c>
      <c r="U145" s="14">
        <v>457.4</v>
      </c>
      <c r="V145" s="14">
        <v>734.1</v>
      </c>
      <c r="W145" s="14" t="s">
        <v>81</v>
      </c>
      <c r="X145" s="14" t="s">
        <v>81</v>
      </c>
      <c r="Y145" s="14" t="s">
        <v>206</v>
      </c>
      <c r="Z145" s="18">
        <v>3</v>
      </c>
      <c r="AA145" s="18">
        <v>3</v>
      </c>
      <c r="AB145" s="14" t="s">
        <v>118</v>
      </c>
      <c r="AC145" s="14">
        <v>139.90939</v>
      </c>
      <c r="AD145" s="14">
        <v>35.527756</v>
      </c>
      <c r="AE145" s="9" t="s">
        <v>591</v>
      </c>
      <c r="AF145" s="9"/>
      <c r="AG145" s="9" t="s">
        <v>592</v>
      </c>
      <c r="AH145" s="9" t="s">
        <v>87</v>
      </c>
      <c r="AI145" s="6">
        <v>2021</v>
      </c>
      <c r="AJ145" s="7" t="s">
        <v>593</v>
      </c>
      <c r="AK145" s="9" t="s">
        <v>351</v>
      </c>
      <c r="AL145" s="9" t="s">
        <v>594</v>
      </c>
      <c r="AM145" s="9" t="s">
        <v>595</v>
      </c>
      <c r="AN145" s="22">
        <v>0</v>
      </c>
    </row>
    <row r="146" spans="1:40">
      <c r="A146" s="6" cm="1">
        <f t="array" ref="A146">IF(COUNTIF(B$2:B146,B146)&gt;1,INDEX(A$1:A145,MATCH(B146,B$1:B145,0)),MAX(A$1:A145)+1)</f>
        <v>35</v>
      </c>
      <c r="B146" s="9" t="s">
        <v>596</v>
      </c>
      <c r="C146" s="10" t="s">
        <v>597</v>
      </c>
      <c r="D146" s="11" t="s">
        <v>415</v>
      </c>
      <c r="E146" s="9" t="s">
        <v>373</v>
      </c>
      <c r="F146" s="9" t="s">
        <v>416</v>
      </c>
      <c r="G146" s="9" t="s">
        <v>183</v>
      </c>
      <c r="H146" s="9" t="s">
        <v>184</v>
      </c>
      <c r="I146" s="9" t="s">
        <v>112</v>
      </c>
      <c r="J146" s="9" t="s">
        <v>79</v>
      </c>
      <c r="K146" s="9" t="s">
        <v>185</v>
      </c>
      <c r="L146" s="9" t="s">
        <v>417</v>
      </c>
      <c r="M146" s="9" t="s">
        <v>129</v>
      </c>
      <c r="N146" s="12">
        <v>100</v>
      </c>
      <c r="O146" s="14"/>
      <c r="P146" s="14"/>
      <c r="Q146" s="14"/>
      <c r="R146" s="14"/>
      <c r="S146" s="14">
        <v>40.9</v>
      </c>
      <c r="T146" s="14">
        <v>7.9</v>
      </c>
      <c r="U146" s="14">
        <v>296.8</v>
      </c>
      <c r="V146" s="14">
        <v>388</v>
      </c>
      <c r="W146" s="14" t="s">
        <v>115</v>
      </c>
      <c r="X146" s="14" t="s">
        <v>116</v>
      </c>
      <c r="Y146" s="14" t="s">
        <v>117</v>
      </c>
      <c r="Z146" s="18">
        <v>3</v>
      </c>
      <c r="AA146" s="18">
        <v>3</v>
      </c>
      <c r="AB146" s="14" t="s">
        <v>261</v>
      </c>
      <c r="AC146" s="14">
        <v>151.914993</v>
      </c>
      <c r="AD146" s="14">
        <v>-23.44228</v>
      </c>
      <c r="AE146" s="9" t="s">
        <v>598</v>
      </c>
      <c r="AF146" s="9"/>
      <c r="AG146" s="9" t="s">
        <v>569</v>
      </c>
      <c r="AH146" s="9" t="s">
        <v>570</v>
      </c>
      <c r="AI146" s="6"/>
      <c r="AJ146" s="9" t="s">
        <v>152</v>
      </c>
      <c r="AK146" s="9" t="s">
        <v>97</v>
      </c>
      <c r="AL146" s="9" t="s">
        <v>599</v>
      </c>
      <c r="AM146" s="9" t="s">
        <v>600</v>
      </c>
      <c r="AN146" s="22">
        <v>1.1</v>
      </c>
    </row>
    <row r="147" spans="1:40">
      <c r="A147" s="6" cm="1">
        <f t="array" ref="A147">IF(COUNTIF(B$2:B147,B147)&gt;1,INDEX(A$1:A146,MATCH(B147,B$1:B146,0)),MAX(A$1:A146)+1)</f>
        <v>35</v>
      </c>
      <c r="B147" s="7" t="s">
        <v>596</v>
      </c>
      <c r="C147" s="3" t="s">
        <v>597</v>
      </c>
      <c r="D147" s="8" t="s">
        <v>415</v>
      </c>
      <c r="E147" s="7" t="s">
        <v>373</v>
      </c>
      <c r="F147" s="7" t="s">
        <v>416</v>
      </c>
      <c r="G147" s="7" t="s">
        <v>183</v>
      </c>
      <c r="H147" s="7" t="s">
        <v>184</v>
      </c>
      <c r="I147" s="7" t="s">
        <v>112</v>
      </c>
      <c r="J147" s="7" t="s">
        <v>79</v>
      </c>
      <c r="K147" s="7" t="s">
        <v>185</v>
      </c>
      <c r="L147" s="7" t="s">
        <v>417</v>
      </c>
      <c r="M147" s="7" t="s">
        <v>129</v>
      </c>
      <c r="N147" s="15">
        <v>100</v>
      </c>
      <c r="O147" s="13"/>
      <c r="P147" s="13"/>
      <c r="Q147" s="13"/>
      <c r="R147" s="13"/>
      <c r="S147" s="13">
        <v>40.9</v>
      </c>
      <c r="T147" s="13">
        <v>7.9</v>
      </c>
      <c r="U147" s="13">
        <v>296.8</v>
      </c>
      <c r="V147" s="13">
        <v>388</v>
      </c>
      <c r="W147" s="13" t="s">
        <v>115</v>
      </c>
      <c r="X147" s="13" t="s">
        <v>116</v>
      </c>
      <c r="Y147" s="13" t="s">
        <v>117</v>
      </c>
      <c r="Z147" s="17">
        <v>3</v>
      </c>
      <c r="AA147" s="17">
        <v>3</v>
      </c>
      <c r="AB147" s="13" t="s">
        <v>261</v>
      </c>
      <c r="AC147" s="13">
        <v>151.914993</v>
      </c>
      <c r="AD147" s="13">
        <v>-23.44228</v>
      </c>
      <c r="AE147" s="7" t="s">
        <v>598</v>
      </c>
      <c r="AF147" s="7"/>
      <c r="AG147" s="7" t="s">
        <v>569</v>
      </c>
      <c r="AH147" s="9" t="s">
        <v>570</v>
      </c>
      <c r="AI147" s="21"/>
      <c r="AJ147" s="9" t="s">
        <v>152</v>
      </c>
      <c r="AK147" s="9" t="s">
        <v>97</v>
      </c>
      <c r="AL147" s="9" t="s">
        <v>599</v>
      </c>
      <c r="AM147" s="9" t="s">
        <v>600</v>
      </c>
      <c r="AN147" s="22">
        <v>1</v>
      </c>
    </row>
    <row r="148" spans="1:40">
      <c r="A148" s="6" cm="1">
        <f t="array" ref="A148">IF(COUNTIF(B$2:B148,B148)&gt;1,INDEX(A$1:A147,MATCH(B148,B$1:B147,0)),MAX(A$1:A147)+1)</f>
        <v>35</v>
      </c>
      <c r="B148" s="9" t="s">
        <v>596</v>
      </c>
      <c r="C148" s="10" t="s">
        <v>597</v>
      </c>
      <c r="D148" s="11" t="s">
        <v>415</v>
      </c>
      <c r="E148" s="9" t="s">
        <v>373</v>
      </c>
      <c r="F148" s="9" t="s">
        <v>416</v>
      </c>
      <c r="G148" s="9" t="s">
        <v>183</v>
      </c>
      <c r="H148" s="9" t="s">
        <v>184</v>
      </c>
      <c r="I148" s="9" t="s">
        <v>112</v>
      </c>
      <c r="J148" s="9" t="s">
        <v>79</v>
      </c>
      <c r="K148" s="9" t="s">
        <v>185</v>
      </c>
      <c r="L148" s="9" t="s">
        <v>417</v>
      </c>
      <c r="M148" s="9" t="s">
        <v>129</v>
      </c>
      <c r="N148" s="12">
        <v>100</v>
      </c>
      <c r="O148" s="14"/>
      <c r="P148" s="14"/>
      <c r="Q148" s="14"/>
      <c r="R148" s="14"/>
      <c r="S148" s="14">
        <v>40.9</v>
      </c>
      <c r="T148" s="14">
        <v>7.9</v>
      </c>
      <c r="U148" s="14">
        <v>296.8</v>
      </c>
      <c r="V148" s="14">
        <v>388</v>
      </c>
      <c r="W148" s="14" t="s">
        <v>115</v>
      </c>
      <c r="X148" s="14" t="s">
        <v>116</v>
      </c>
      <c r="Y148" s="14" t="s">
        <v>117</v>
      </c>
      <c r="Z148" s="18">
        <v>3</v>
      </c>
      <c r="AA148" s="18">
        <v>3</v>
      </c>
      <c r="AB148" s="14" t="s">
        <v>261</v>
      </c>
      <c r="AC148" s="14">
        <v>151.914993</v>
      </c>
      <c r="AD148" s="14">
        <v>-23.44228</v>
      </c>
      <c r="AE148" s="9" t="s">
        <v>598</v>
      </c>
      <c r="AF148" s="9"/>
      <c r="AG148" s="9" t="s">
        <v>569</v>
      </c>
      <c r="AH148" s="9" t="s">
        <v>570</v>
      </c>
      <c r="AI148" s="6"/>
      <c r="AJ148" s="9" t="s">
        <v>152</v>
      </c>
      <c r="AK148" s="9" t="s">
        <v>97</v>
      </c>
      <c r="AL148" s="9" t="s">
        <v>599</v>
      </c>
      <c r="AM148" s="9" t="s">
        <v>600</v>
      </c>
      <c r="AN148" s="22">
        <v>1.1</v>
      </c>
    </row>
    <row r="149" spans="1:40">
      <c r="A149" s="6" cm="1">
        <f t="array" ref="A149">IF(COUNTIF(B$2:B149,B149)&gt;1,INDEX(A$1:A148,MATCH(B149,B$1:B148,0)),MAX(A$1:A148)+1)</f>
        <v>36</v>
      </c>
      <c r="B149" s="7" t="s">
        <v>601</v>
      </c>
      <c r="C149" s="3" t="s">
        <v>602</v>
      </c>
      <c r="D149" s="8" t="s">
        <v>603</v>
      </c>
      <c r="E149" s="7" t="s">
        <v>373</v>
      </c>
      <c r="F149" s="7" t="s">
        <v>604</v>
      </c>
      <c r="G149" s="7" t="s">
        <v>605</v>
      </c>
      <c r="H149" s="7" t="s">
        <v>606</v>
      </c>
      <c r="I149" s="7" t="s">
        <v>112</v>
      </c>
      <c r="J149" s="7" t="s">
        <v>79</v>
      </c>
      <c r="K149" s="7" t="s">
        <v>161</v>
      </c>
      <c r="L149" s="7"/>
      <c r="M149" s="7" t="s">
        <v>115</v>
      </c>
      <c r="N149" s="15"/>
      <c r="O149" s="13"/>
      <c r="P149" s="13">
        <v>50</v>
      </c>
      <c r="Q149" s="13">
        <v>15</v>
      </c>
      <c r="R149" s="13">
        <v>18</v>
      </c>
      <c r="S149" s="13">
        <v>64.7</v>
      </c>
      <c r="T149" s="13">
        <v>3.8</v>
      </c>
      <c r="U149" s="13">
        <v>148</v>
      </c>
      <c r="V149" s="13">
        <v>306</v>
      </c>
      <c r="W149" s="13" t="s">
        <v>115</v>
      </c>
      <c r="X149" s="13" t="s">
        <v>116</v>
      </c>
      <c r="Y149" s="13" t="s">
        <v>149</v>
      </c>
      <c r="Z149" s="17">
        <v>1</v>
      </c>
      <c r="AA149" s="17">
        <v>2</v>
      </c>
      <c r="AB149" s="13" t="s">
        <v>84</v>
      </c>
      <c r="AC149" s="13">
        <v>-89.528446</v>
      </c>
      <c r="AD149" s="13">
        <v>30.187465</v>
      </c>
      <c r="AE149" s="7" t="s">
        <v>607</v>
      </c>
      <c r="AF149" s="7"/>
      <c r="AG149" s="7" t="s">
        <v>121</v>
      </c>
      <c r="AH149" s="7" t="s">
        <v>96</v>
      </c>
      <c r="AI149" s="21">
        <v>2019</v>
      </c>
      <c r="AJ149" s="7" t="s">
        <v>152</v>
      </c>
      <c r="AK149" s="7" t="s">
        <v>608</v>
      </c>
      <c r="AL149" s="7" t="s">
        <v>98</v>
      </c>
      <c r="AM149" s="7" t="s">
        <v>609</v>
      </c>
      <c r="AN149" s="22">
        <v>7.2</v>
      </c>
    </row>
    <row r="150" spans="1:40">
      <c r="A150" s="6" cm="1">
        <f t="array" ref="A150">IF(COUNTIF(B$2:B150,B150)&gt;1,INDEX(A$1:A149,MATCH(B150,B$1:B149,0)),MAX(A$1:A149)+1)</f>
        <v>36</v>
      </c>
      <c r="B150" s="9" t="s">
        <v>601</v>
      </c>
      <c r="C150" s="10" t="s">
        <v>602</v>
      </c>
      <c r="D150" s="11" t="s">
        <v>610</v>
      </c>
      <c r="E150" s="9" t="s">
        <v>362</v>
      </c>
      <c r="F150" s="9" t="s">
        <v>611</v>
      </c>
      <c r="G150" s="9" t="s">
        <v>235</v>
      </c>
      <c r="H150" s="9" t="s">
        <v>368</v>
      </c>
      <c r="I150" s="9" t="s">
        <v>78</v>
      </c>
      <c r="J150" s="9" t="s">
        <v>79</v>
      </c>
      <c r="K150" s="9" t="s">
        <v>80</v>
      </c>
      <c r="L150" s="9"/>
      <c r="M150" s="9" t="s">
        <v>81</v>
      </c>
      <c r="N150" s="12"/>
      <c r="O150" s="14"/>
      <c r="P150" s="14"/>
      <c r="Q150" s="14"/>
      <c r="R150" s="14"/>
      <c r="S150" s="14">
        <v>16.3</v>
      </c>
      <c r="T150" s="14">
        <v>4.2</v>
      </c>
      <c r="U150" s="14">
        <v>60.6</v>
      </c>
      <c r="V150" s="14">
        <v>22.2</v>
      </c>
      <c r="W150" s="14" t="s">
        <v>115</v>
      </c>
      <c r="X150" s="14" t="s">
        <v>222</v>
      </c>
      <c r="Y150" s="14" t="s">
        <v>149</v>
      </c>
      <c r="Z150" s="18">
        <v>3</v>
      </c>
      <c r="AA150" s="18">
        <v>2</v>
      </c>
      <c r="AB150" s="14" t="s">
        <v>84</v>
      </c>
      <c r="AC150" s="14">
        <v>-89.371282</v>
      </c>
      <c r="AD150" s="14">
        <v>30.341688</v>
      </c>
      <c r="AE150" s="9" t="s">
        <v>612</v>
      </c>
      <c r="AF150" s="9"/>
      <c r="AG150" s="9" t="s">
        <v>121</v>
      </c>
      <c r="AH150" s="7" t="s">
        <v>96</v>
      </c>
      <c r="AI150" s="6">
        <v>2019</v>
      </c>
      <c r="AJ150" s="7" t="s">
        <v>152</v>
      </c>
      <c r="AK150" s="7" t="s">
        <v>608</v>
      </c>
      <c r="AL150" s="7" t="s">
        <v>98</v>
      </c>
      <c r="AM150" s="7" t="s">
        <v>609</v>
      </c>
      <c r="AN150" s="22">
        <v>2.7</v>
      </c>
    </row>
    <row r="151" spans="1:40">
      <c r="A151" s="6" cm="1">
        <f t="array" ref="A151">IF(COUNTIF(B$2:B151,B151)&gt;1,INDEX(A$1:A150,MATCH(B151,B$1:B150,0)),MAX(A$1:A150)+1)</f>
        <v>37</v>
      </c>
      <c r="B151" s="9" t="s">
        <v>613</v>
      </c>
      <c r="C151" s="10" t="s">
        <v>614</v>
      </c>
      <c r="D151" s="11" t="s">
        <v>615</v>
      </c>
      <c r="E151" s="9" t="s">
        <v>108</v>
      </c>
      <c r="F151" s="9" t="s">
        <v>616</v>
      </c>
      <c r="G151" s="9" t="s">
        <v>203</v>
      </c>
      <c r="H151" s="9" t="s">
        <v>204</v>
      </c>
      <c r="I151" s="9" t="s">
        <v>112</v>
      </c>
      <c r="J151" s="9" t="s">
        <v>79</v>
      </c>
      <c r="K151" s="9" t="s">
        <v>80</v>
      </c>
      <c r="L151" s="9" t="s">
        <v>617</v>
      </c>
      <c r="M151" s="9" t="s">
        <v>115</v>
      </c>
      <c r="N151" s="12">
        <v>2000</v>
      </c>
      <c r="O151" s="14"/>
      <c r="P151" s="14"/>
      <c r="Q151" s="14"/>
      <c r="R151" s="14"/>
      <c r="S151" s="14">
        <v>35.9</v>
      </c>
      <c r="T151" s="14">
        <v>12.6</v>
      </c>
      <c r="U151" s="14">
        <v>382.9</v>
      </c>
      <c r="V151" s="14">
        <v>759.1</v>
      </c>
      <c r="W151" s="14" t="s">
        <v>115</v>
      </c>
      <c r="X151" s="14" t="s">
        <v>205</v>
      </c>
      <c r="Y151" s="14" t="s">
        <v>382</v>
      </c>
      <c r="Z151" s="18">
        <v>3</v>
      </c>
      <c r="AA151" s="18">
        <v>2</v>
      </c>
      <c r="AB151" s="14" t="s">
        <v>219</v>
      </c>
      <c r="AC151" s="14">
        <v>122.092533</v>
      </c>
      <c r="AD151" s="14">
        <v>31.277101</v>
      </c>
      <c r="AE151" s="9" t="s">
        <v>618</v>
      </c>
      <c r="AF151" s="9" t="s">
        <v>619</v>
      </c>
      <c r="AG151" s="9" t="s">
        <v>620</v>
      </c>
      <c r="AH151" s="9" t="s">
        <v>87</v>
      </c>
      <c r="AI151" s="6">
        <v>2015</v>
      </c>
      <c r="AJ151" s="9" t="s">
        <v>621</v>
      </c>
      <c r="AK151" s="9" t="s">
        <v>89</v>
      </c>
      <c r="AL151" s="9" t="s">
        <v>98</v>
      </c>
      <c r="AM151" s="9" t="s">
        <v>622</v>
      </c>
      <c r="AN151" s="22">
        <v>17</v>
      </c>
    </row>
    <row r="152" spans="1:40">
      <c r="A152" s="6" cm="1">
        <f t="array" ref="A152">IF(COUNTIF(B$2:B152,B152)&gt;1,INDEX(A$1:A151,MATCH(B152,B$1:B151,0)),MAX(A$1:A151)+1)</f>
        <v>37</v>
      </c>
      <c r="B152" s="7" t="s">
        <v>613</v>
      </c>
      <c r="C152" s="3" t="s">
        <v>614</v>
      </c>
      <c r="D152" s="8" t="s">
        <v>588</v>
      </c>
      <c r="E152" s="7" t="s">
        <v>138</v>
      </c>
      <c r="F152" s="7" t="s">
        <v>589</v>
      </c>
      <c r="G152" s="9" t="s">
        <v>203</v>
      </c>
      <c r="H152" s="9" t="s">
        <v>204</v>
      </c>
      <c r="I152" s="9" t="s">
        <v>112</v>
      </c>
      <c r="J152" s="9" t="s">
        <v>79</v>
      </c>
      <c r="K152" s="9" t="s">
        <v>80</v>
      </c>
      <c r="L152" s="9" t="s">
        <v>590</v>
      </c>
      <c r="M152" s="9" t="s">
        <v>115</v>
      </c>
      <c r="N152" s="15">
        <v>4900</v>
      </c>
      <c r="O152" s="13"/>
      <c r="P152" s="13">
        <v>540</v>
      </c>
      <c r="Q152" s="13">
        <v>47</v>
      </c>
      <c r="R152" s="13">
        <v>60</v>
      </c>
      <c r="S152" s="13">
        <v>40</v>
      </c>
      <c r="T152" s="13">
        <v>13</v>
      </c>
      <c r="U152" s="13">
        <v>457.4</v>
      </c>
      <c r="V152" s="13">
        <v>734.1</v>
      </c>
      <c r="W152" s="13" t="s">
        <v>81</v>
      </c>
      <c r="X152" s="13" t="s">
        <v>81</v>
      </c>
      <c r="Y152" s="13" t="s">
        <v>206</v>
      </c>
      <c r="Z152" s="17">
        <v>3</v>
      </c>
      <c r="AA152" s="17">
        <v>3</v>
      </c>
      <c r="AB152" s="13" t="s">
        <v>118</v>
      </c>
      <c r="AC152" s="13">
        <v>122.092533</v>
      </c>
      <c r="AD152" s="13">
        <v>31.277101</v>
      </c>
      <c r="AE152" s="7" t="s">
        <v>618</v>
      </c>
      <c r="AF152" s="7" t="s">
        <v>619</v>
      </c>
      <c r="AG152" s="7" t="s">
        <v>620</v>
      </c>
      <c r="AH152" s="7" t="s">
        <v>87</v>
      </c>
      <c r="AI152" s="6">
        <v>2015</v>
      </c>
      <c r="AJ152" s="9" t="s">
        <v>621</v>
      </c>
      <c r="AK152" s="9" t="s">
        <v>89</v>
      </c>
      <c r="AL152" s="9" t="s">
        <v>98</v>
      </c>
      <c r="AM152" s="9" t="s">
        <v>622</v>
      </c>
      <c r="AN152" s="22">
        <v>4</v>
      </c>
    </row>
    <row r="153" spans="1:40">
      <c r="A153" s="6" cm="1">
        <f t="array" ref="A153">IF(COUNTIF(B$2:B153,B153)&gt;1,INDEX(A$1:A152,MATCH(B153,B$1:B152,0)),MAX(A$1:A152)+1)</f>
        <v>37</v>
      </c>
      <c r="B153" s="9" t="s">
        <v>613</v>
      </c>
      <c r="C153" s="10" t="s">
        <v>614</v>
      </c>
      <c r="D153" s="11" t="s">
        <v>623</v>
      </c>
      <c r="E153" s="9" t="s">
        <v>108</v>
      </c>
      <c r="F153" s="9" t="s">
        <v>624</v>
      </c>
      <c r="G153" s="9" t="s">
        <v>625</v>
      </c>
      <c r="H153" s="9" t="s">
        <v>626</v>
      </c>
      <c r="I153" s="9" t="s">
        <v>112</v>
      </c>
      <c r="J153" s="9" t="s">
        <v>79</v>
      </c>
      <c r="K153" s="9" t="s">
        <v>80</v>
      </c>
      <c r="L153" s="9" t="s">
        <v>617</v>
      </c>
      <c r="M153" s="9" t="s">
        <v>115</v>
      </c>
      <c r="N153" s="12">
        <v>3500</v>
      </c>
      <c r="O153" s="14">
        <v>150</v>
      </c>
      <c r="P153" s="14">
        <v>190</v>
      </c>
      <c r="Q153" s="14">
        <v>30</v>
      </c>
      <c r="R153" s="14">
        <v>36</v>
      </c>
      <c r="S153" s="14">
        <v>20.8</v>
      </c>
      <c r="T153" s="14">
        <v>10.6</v>
      </c>
      <c r="U153" s="14">
        <v>241</v>
      </c>
      <c r="V153" s="14">
        <v>183.2</v>
      </c>
      <c r="W153" s="14" t="s">
        <v>115</v>
      </c>
      <c r="X153" s="14" t="s">
        <v>205</v>
      </c>
      <c r="Y153" s="14" t="s">
        <v>627</v>
      </c>
      <c r="Z153" s="18">
        <v>3</v>
      </c>
      <c r="AA153" s="18">
        <v>3</v>
      </c>
      <c r="AB153" s="14" t="s">
        <v>118</v>
      </c>
      <c r="AC153" s="14">
        <v>122.092533</v>
      </c>
      <c r="AD153" s="14">
        <v>31.277101</v>
      </c>
      <c r="AE153" s="9" t="s">
        <v>618</v>
      </c>
      <c r="AF153" s="9" t="s">
        <v>619</v>
      </c>
      <c r="AG153" s="9" t="s">
        <v>620</v>
      </c>
      <c r="AH153" s="9" t="s">
        <v>87</v>
      </c>
      <c r="AI153" s="6">
        <v>2015</v>
      </c>
      <c r="AJ153" s="9" t="s">
        <v>621</v>
      </c>
      <c r="AK153" s="9" t="s">
        <v>89</v>
      </c>
      <c r="AL153" s="9" t="s">
        <v>98</v>
      </c>
      <c r="AM153" s="9" t="s">
        <v>622</v>
      </c>
      <c r="AN153" s="22">
        <v>21</v>
      </c>
    </row>
    <row r="154" spans="1:40">
      <c r="A154" s="6" cm="1">
        <f t="array" ref="A154">IF(COUNTIF(B$2:B154,B154)&gt;1,INDEX(A$1:A153,MATCH(B154,B$1:B153,0)),MAX(A$1:A153)+1)</f>
        <v>37</v>
      </c>
      <c r="B154" s="7" t="s">
        <v>613</v>
      </c>
      <c r="C154" s="3" t="s">
        <v>614</v>
      </c>
      <c r="D154" s="8" t="s">
        <v>628</v>
      </c>
      <c r="E154" s="7" t="s">
        <v>629</v>
      </c>
      <c r="F154" s="7" t="s">
        <v>630</v>
      </c>
      <c r="G154" s="9" t="s">
        <v>631</v>
      </c>
      <c r="H154" s="9" t="s">
        <v>632</v>
      </c>
      <c r="I154" s="9" t="s">
        <v>112</v>
      </c>
      <c r="J154" s="9" t="s">
        <v>79</v>
      </c>
      <c r="K154" s="9" t="s">
        <v>80</v>
      </c>
      <c r="L154" s="9"/>
      <c r="M154" s="9" t="s">
        <v>115</v>
      </c>
      <c r="N154" s="15">
        <v>3460</v>
      </c>
      <c r="O154" s="13"/>
      <c r="P154" s="13"/>
      <c r="Q154" s="13"/>
      <c r="R154" s="13"/>
      <c r="S154" s="13">
        <v>30.3</v>
      </c>
      <c r="T154" s="13">
        <v>7.8</v>
      </c>
      <c r="U154" s="13">
        <v>235</v>
      </c>
      <c r="V154" s="13">
        <v>151</v>
      </c>
      <c r="W154" s="13" t="s">
        <v>115</v>
      </c>
      <c r="X154" s="13" t="s">
        <v>222</v>
      </c>
      <c r="Y154" s="13" t="s">
        <v>206</v>
      </c>
      <c r="Z154" s="17">
        <v>1</v>
      </c>
      <c r="AA154" s="17">
        <v>3</v>
      </c>
      <c r="AB154" s="13" t="s">
        <v>219</v>
      </c>
      <c r="AC154" s="13">
        <v>122.092533</v>
      </c>
      <c r="AD154" s="13">
        <v>31.277101</v>
      </c>
      <c r="AE154" s="7" t="s">
        <v>618</v>
      </c>
      <c r="AF154" s="7" t="s">
        <v>619</v>
      </c>
      <c r="AG154" s="7" t="s">
        <v>620</v>
      </c>
      <c r="AH154" s="7" t="s">
        <v>87</v>
      </c>
      <c r="AI154" s="6">
        <v>2015</v>
      </c>
      <c r="AJ154" s="9" t="s">
        <v>621</v>
      </c>
      <c r="AK154" s="9" t="s">
        <v>89</v>
      </c>
      <c r="AL154" s="9" t="s">
        <v>98</v>
      </c>
      <c r="AM154" s="9" t="s">
        <v>622</v>
      </c>
      <c r="AN154" s="22">
        <v>11</v>
      </c>
    </row>
    <row r="155" spans="1:40">
      <c r="A155" s="6" cm="1">
        <f t="array" ref="A155">IF(COUNTIF(B$2:B155,B155)&gt;1,INDEX(A$1:A154,MATCH(B155,B$1:B154,0)),MAX(A$1:A154)+1)</f>
        <v>37</v>
      </c>
      <c r="B155" s="9" t="s">
        <v>613</v>
      </c>
      <c r="C155" s="10" t="s">
        <v>614</v>
      </c>
      <c r="D155" s="8" t="s">
        <v>530</v>
      </c>
      <c r="E155" s="7" t="s">
        <v>108</v>
      </c>
      <c r="F155" s="7" t="s">
        <v>531</v>
      </c>
      <c r="G155" s="7" t="s">
        <v>126</v>
      </c>
      <c r="H155" s="7" t="s">
        <v>532</v>
      </c>
      <c r="I155" s="7" t="s">
        <v>112</v>
      </c>
      <c r="J155" s="7" t="s">
        <v>79</v>
      </c>
      <c r="K155" s="7" t="s">
        <v>113</v>
      </c>
      <c r="L155" s="7" t="s">
        <v>533</v>
      </c>
      <c r="M155" s="9" t="s">
        <v>115</v>
      </c>
      <c r="N155" s="12">
        <v>4080</v>
      </c>
      <c r="O155" s="14"/>
      <c r="P155" s="14"/>
      <c r="Q155" s="14"/>
      <c r="R155" s="14"/>
      <c r="S155" s="14">
        <v>63.3</v>
      </c>
      <c r="T155" s="14">
        <v>8.6</v>
      </c>
      <c r="U155" s="14">
        <v>244.4</v>
      </c>
      <c r="V155" s="14">
        <v>366</v>
      </c>
      <c r="W155" s="14" t="s">
        <v>115</v>
      </c>
      <c r="X155" s="14" t="s">
        <v>81</v>
      </c>
      <c r="Y155" s="14" t="s">
        <v>172</v>
      </c>
      <c r="Z155" s="18">
        <v>3</v>
      </c>
      <c r="AA155" s="18">
        <v>2</v>
      </c>
      <c r="AB155" s="14" t="s">
        <v>84</v>
      </c>
      <c r="AC155" s="14">
        <v>122.092533</v>
      </c>
      <c r="AD155" s="14">
        <v>31.277101</v>
      </c>
      <c r="AE155" s="9" t="s">
        <v>618</v>
      </c>
      <c r="AF155" s="9" t="s">
        <v>619</v>
      </c>
      <c r="AG155" s="9" t="s">
        <v>620</v>
      </c>
      <c r="AH155" s="9" t="s">
        <v>87</v>
      </c>
      <c r="AI155" s="6">
        <v>2015</v>
      </c>
      <c r="AJ155" s="9" t="s">
        <v>621</v>
      </c>
      <c r="AK155" s="9" t="s">
        <v>89</v>
      </c>
      <c r="AL155" s="9" t="s">
        <v>98</v>
      </c>
      <c r="AM155" s="9" t="s">
        <v>622</v>
      </c>
      <c r="AN155" s="22">
        <v>10</v>
      </c>
    </row>
    <row r="156" spans="1:40">
      <c r="A156" s="6" cm="1">
        <f t="array" ref="A156">IF(COUNTIF(B$2:B156,B156)&gt;1,INDEX(A$1:A155,MATCH(B156,B$1:B155,0)),MAX(A$1:A155)+1)</f>
        <v>37</v>
      </c>
      <c r="B156" s="7" t="s">
        <v>613</v>
      </c>
      <c r="C156" s="3" t="s">
        <v>614</v>
      </c>
      <c r="D156" s="8" t="s">
        <v>633</v>
      </c>
      <c r="E156" s="7" t="s">
        <v>634</v>
      </c>
      <c r="F156" s="7" t="s">
        <v>635</v>
      </c>
      <c r="G156" s="9" t="s">
        <v>479</v>
      </c>
      <c r="H156" s="9" t="s">
        <v>480</v>
      </c>
      <c r="I156" s="9" t="s">
        <v>112</v>
      </c>
      <c r="J156" s="9" t="s">
        <v>79</v>
      </c>
      <c r="K156" s="9" t="s">
        <v>161</v>
      </c>
      <c r="L156" s="9" t="s">
        <v>636</v>
      </c>
      <c r="M156" s="9" t="s">
        <v>115</v>
      </c>
      <c r="N156" s="15">
        <v>1000</v>
      </c>
      <c r="O156" s="13"/>
      <c r="P156" s="13"/>
      <c r="Q156" s="13"/>
      <c r="R156" s="13"/>
      <c r="S156" s="13">
        <v>23.9</v>
      </c>
      <c r="T156" s="13">
        <v>4.4</v>
      </c>
      <c r="U156" s="13">
        <v>100</v>
      </c>
      <c r="V156" s="13">
        <v>169.4</v>
      </c>
      <c r="W156" s="13" t="s">
        <v>115</v>
      </c>
      <c r="X156" s="13" t="s">
        <v>116</v>
      </c>
      <c r="Y156" s="13" t="s">
        <v>149</v>
      </c>
      <c r="Z156" s="17">
        <v>3</v>
      </c>
      <c r="AA156" s="17">
        <v>1</v>
      </c>
      <c r="AB156" s="13" t="s">
        <v>136</v>
      </c>
      <c r="AC156" s="13">
        <v>122.092533</v>
      </c>
      <c r="AD156" s="13">
        <v>31.277101</v>
      </c>
      <c r="AE156" s="7" t="s">
        <v>618</v>
      </c>
      <c r="AF156" s="7" t="s">
        <v>619</v>
      </c>
      <c r="AG156" s="7" t="s">
        <v>620</v>
      </c>
      <c r="AH156" s="7" t="s">
        <v>87</v>
      </c>
      <c r="AI156" s="6">
        <v>2015</v>
      </c>
      <c r="AJ156" s="9" t="s">
        <v>621</v>
      </c>
      <c r="AK156" s="9" t="s">
        <v>89</v>
      </c>
      <c r="AL156" s="9" t="s">
        <v>98</v>
      </c>
      <c r="AM156" s="9" t="s">
        <v>622</v>
      </c>
      <c r="AN156" s="22">
        <v>0</v>
      </c>
    </row>
    <row r="157" spans="1:40">
      <c r="A157" s="6" cm="1">
        <f t="array" ref="A157">IF(COUNTIF(B$2:B157,B157)&gt;1,INDEX(A$1:A156,MATCH(B157,B$1:B156,0)),MAX(A$1:A156)+1)</f>
        <v>37</v>
      </c>
      <c r="B157" s="9" t="s">
        <v>613</v>
      </c>
      <c r="C157" s="10" t="s">
        <v>614</v>
      </c>
      <c r="D157" s="11" t="s">
        <v>637</v>
      </c>
      <c r="E157" s="9" t="s">
        <v>108</v>
      </c>
      <c r="F157" s="9" t="s">
        <v>638</v>
      </c>
      <c r="G157" s="9" t="s">
        <v>140</v>
      </c>
      <c r="H157" s="9" t="s">
        <v>639</v>
      </c>
      <c r="I157" s="9" t="s">
        <v>112</v>
      </c>
      <c r="J157" s="9" t="s">
        <v>286</v>
      </c>
      <c r="K157" s="9" t="s">
        <v>113</v>
      </c>
      <c r="L157" s="9" t="s">
        <v>640</v>
      </c>
      <c r="M157" s="9" t="s">
        <v>115</v>
      </c>
      <c r="N157" s="12"/>
      <c r="O157" s="14">
        <v>45</v>
      </c>
      <c r="P157" s="14">
        <v>65</v>
      </c>
      <c r="Q157" s="14">
        <v>16</v>
      </c>
      <c r="R157" s="14">
        <v>22</v>
      </c>
      <c r="S157" s="14">
        <v>36.9</v>
      </c>
      <c r="T157" s="14">
        <v>2.9</v>
      </c>
      <c r="U157" s="14">
        <v>115.1</v>
      </c>
      <c r="V157" s="14">
        <v>51.9</v>
      </c>
      <c r="W157" s="14" t="s">
        <v>115</v>
      </c>
      <c r="X157" s="14" t="s">
        <v>116</v>
      </c>
      <c r="Y157" s="14" t="s">
        <v>149</v>
      </c>
      <c r="Z157" s="18">
        <v>3</v>
      </c>
      <c r="AA157" s="18">
        <v>3</v>
      </c>
      <c r="AB157" s="14" t="s">
        <v>84</v>
      </c>
      <c r="AC157" s="14">
        <v>122.092533</v>
      </c>
      <c r="AD157" s="14">
        <v>31.277101</v>
      </c>
      <c r="AE157" s="9" t="s">
        <v>618</v>
      </c>
      <c r="AF157" s="9" t="s">
        <v>619</v>
      </c>
      <c r="AG157" s="9" t="s">
        <v>620</v>
      </c>
      <c r="AH157" s="9" t="s">
        <v>87</v>
      </c>
      <c r="AI157" s="6">
        <v>2015</v>
      </c>
      <c r="AJ157" s="9" t="s">
        <v>621</v>
      </c>
      <c r="AK157" s="9" t="s">
        <v>89</v>
      </c>
      <c r="AL157" s="9" t="s">
        <v>98</v>
      </c>
      <c r="AM157" s="9" t="s">
        <v>622</v>
      </c>
      <c r="AN157" s="22">
        <v>0</v>
      </c>
    </row>
    <row r="158" spans="1:40">
      <c r="A158" s="6" cm="1">
        <f t="array" ref="A158">IF(COUNTIF(B$2:B158,B158)&gt;1,INDEX(A$1:A157,MATCH(B158,B$1:B157,0)),MAX(A$1:A157)+1)</f>
        <v>37</v>
      </c>
      <c r="B158" s="7" t="s">
        <v>613</v>
      </c>
      <c r="C158" s="3" t="s">
        <v>614</v>
      </c>
      <c r="D158" s="8" t="s">
        <v>641</v>
      </c>
      <c r="E158" s="7" t="s">
        <v>108</v>
      </c>
      <c r="F158" s="7" t="s">
        <v>642</v>
      </c>
      <c r="G158" s="9" t="s">
        <v>140</v>
      </c>
      <c r="H158" s="9" t="s">
        <v>639</v>
      </c>
      <c r="I158" s="9" t="s">
        <v>112</v>
      </c>
      <c r="J158" s="9" t="s">
        <v>79</v>
      </c>
      <c r="K158" s="9" t="s">
        <v>161</v>
      </c>
      <c r="L158" s="9" t="s">
        <v>643</v>
      </c>
      <c r="M158" s="9" t="s">
        <v>115</v>
      </c>
      <c r="N158" s="13"/>
      <c r="O158" s="13"/>
      <c r="P158" s="13">
        <v>40</v>
      </c>
      <c r="Q158" s="13">
        <v>18</v>
      </c>
      <c r="R158" s="13">
        <v>24</v>
      </c>
      <c r="S158" s="13">
        <v>30.1</v>
      </c>
      <c r="T158" s="13">
        <v>3.1</v>
      </c>
      <c r="U158" s="13">
        <v>109.9</v>
      </c>
      <c r="V158" s="13">
        <v>48</v>
      </c>
      <c r="W158" s="13" t="s">
        <v>115</v>
      </c>
      <c r="X158" s="13" t="s">
        <v>116</v>
      </c>
      <c r="Y158" s="13" t="s">
        <v>149</v>
      </c>
      <c r="Z158" s="17">
        <v>3</v>
      </c>
      <c r="AA158" s="17">
        <v>3</v>
      </c>
      <c r="AB158" s="13" t="s">
        <v>84</v>
      </c>
      <c r="AC158" s="13">
        <v>122.092533</v>
      </c>
      <c r="AD158" s="13">
        <v>31.277101</v>
      </c>
      <c r="AE158" s="7" t="s">
        <v>618</v>
      </c>
      <c r="AF158" s="7" t="s">
        <v>619</v>
      </c>
      <c r="AG158" s="7" t="s">
        <v>620</v>
      </c>
      <c r="AH158" s="7" t="s">
        <v>87</v>
      </c>
      <c r="AI158" s="6">
        <v>2015</v>
      </c>
      <c r="AJ158" s="9" t="s">
        <v>621</v>
      </c>
      <c r="AK158" s="9" t="s">
        <v>89</v>
      </c>
      <c r="AL158" s="9" t="s">
        <v>98</v>
      </c>
      <c r="AM158" s="9" t="s">
        <v>622</v>
      </c>
      <c r="AN158" s="22">
        <v>0</v>
      </c>
    </row>
    <row r="159" spans="1:40">
      <c r="A159" s="6" cm="1">
        <f t="array" ref="A159">IF(COUNTIF(B$2:B159,B159)&gt;1,INDEX(A$1:A158,MATCH(B159,B$1:B158,0)),MAX(A$1:A158)+1)</f>
        <v>37</v>
      </c>
      <c r="B159" s="9" t="s">
        <v>613</v>
      </c>
      <c r="C159" s="10" t="s">
        <v>614</v>
      </c>
      <c r="D159" s="11" t="s">
        <v>644</v>
      </c>
      <c r="E159" s="9" t="s">
        <v>373</v>
      </c>
      <c r="F159" s="9" t="s">
        <v>645</v>
      </c>
      <c r="G159" s="9" t="s">
        <v>235</v>
      </c>
      <c r="H159" s="9" t="s">
        <v>259</v>
      </c>
      <c r="I159" s="9" t="s">
        <v>112</v>
      </c>
      <c r="J159" s="9" t="s">
        <v>79</v>
      </c>
      <c r="K159" s="9" t="s">
        <v>80</v>
      </c>
      <c r="L159" s="9"/>
      <c r="M159" s="9" t="s">
        <v>81</v>
      </c>
      <c r="N159" s="12">
        <v>1500</v>
      </c>
      <c r="O159" s="14"/>
      <c r="P159" s="14"/>
      <c r="Q159" s="14"/>
      <c r="R159" s="14"/>
      <c r="S159" s="14">
        <v>22</v>
      </c>
      <c r="T159" s="14">
        <v>4.4</v>
      </c>
      <c r="U159" s="14">
        <v>119.8</v>
      </c>
      <c r="V159" s="14">
        <v>62.6</v>
      </c>
      <c r="W159" s="14" t="s">
        <v>81</v>
      </c>
      <c r="X159" s="14" t="s">
        <v>222</v>
      </c>
      <c r="Y159" s="14" t="s">
        <v>83</v>
      </c>
      <c r="Z159" s="18">
        <v>1</v>
      </c>
      <c r="AA159" s="18">
        <v>3</v>
      </c>
      <c r="AB159" s="14" t="s">
        <v>219</v>
      </c>
      <c r="AC159" s="14">
        <v>122.092533</v>
      </c>
      <c r="AD159" s="14">
        <v>31.277101</v>
      </c>
      <c r="AE159" s="9" t="s">
        <v>618</v>
      </c>
      <c r="AF159" s="9" t="s">
        <v>619</v>
      </c>
      <c r="AG159" s="9" t="s">
        <v>620</v>
      </c>
      <c r="AH159" s="9" t="s">
        <v>87</v>
      </c>
      <c r="AI159" s="6">
        <v>2015</v>
      </c>
      <c r="AJ159" s="9" t="s">
        <v>621</v>
      </c>
      <c r="AK159" s="9" t="s">
        <v>89</v>
      </c>
      <c r="AL159" s="9" t="s">
        <v>98</v>
      </c>
      <c r="AM159" s="9" t="s">
        <v>622</v>
      </c>
      <c r="AN159" s="22">
        <v>4</v>
      </c>
    </row>
    <row r="160" spans="1:40">
      <c r="A160" s="6" cm="1">
        <f t="array" ref="A160">IF(COUNTIF(B$2:B160,B160)&gt;1,INDEX(A$1:A159,MATCH(B160,B$1:B159,0)),MAX(A$1:A159)+1)</f>
        <v>37</v>
      </c>
      <c r="B160" s="7" t="s">
        <v>613</v>
      </c>
      <c r="C160" s="3" t="s">
        <v>614</v>
      </c>
      <c r="D160" s="8" t="s">
        <v>646</v>
      </c>
      <c r="E160" s="7" t="s">
        <v>647</v>
      </c>
      <c r="F160" s="7" t="s">
        <v>648</v>
      </c>
      <c r="G160" s="9" t="s">
        <v>235</v>
      </c>
      <c r="H160" s="9" t="s">
        <v>259</v>
      </c>
      <c r="I160" s="9" t="s">
        <v>112</v>
      </c>
      <c r="J160" s="9" t="s">
        <v>79</v>
      </c>
      <c r="K160" s="9" t="s">
        <v>80</v>
      </c>
      <c r="L160" s="9"/>
      <c r="M160" s="9" t="s">
        <v>115</v>
      </c>
      <c r="N160" s="15">
        <v>1100</v>
      </c>
      <c r="O160" s="13"/>
      <c r="P160" s="13"/>
      <c r="Q160" s="13"/>
      <c r="R160" s="13"/>
      <c r="S160" s="13">
        <v>23.3</v>
      </c>
      <c r="T160" s="13">
        <v>4.9</v>
      </c>
      <c r="U160" s="13">
        <v>115.8</v>
      </c>
      <c r="V160" s="13">
        <v>66.7</v>
      </c>
      <c r="W160" s="13" t="s">
        <v>115</v>
      </c>
      <c r="X160" s="13" t="s">
        <v>222</v>
      </c>
      <c r="Y160" s="13" t="s">
        <v>83</v>
      </c>
      <c r="Z160" s="17">
        <v>1</v>
      </c>
      <c r="AA160" s="17">
        <v>3</v>
      </c>
      <c r="AB160" s="13" t="s">
        <v>84</v>
      </c>
      <c r="AC160" s="13">
        <v>122.092533</v>
      </c>
      <c r="AD160" s="13">
        <v>31.277101</v>
      </c>
      <c r="AE160" s="7" t="s">
        <v>618</v>
      </c>
      <c r="AF160" s="7" t="s">
        <v>619</v>
      </c>
      <c r="AG160" s="7" t="s">
        <v>620</v>
      </c>
      <c r="AH160" s="7" t="s">
        <v>87</v>
      </c>
      <c r="AI160" s="6">
        <v>2015</v>
      </c>
      <c r="AJ160" s="9" t="s">
        <v>621</v>
      </c>
      <c r="AK160" s="9" t="s">
        <v>89</v>
      </c>
      <c r="AL160" s="9" t="s">
        <v>98</v>
      </c>
      <c r="AM160" s="9" t="s">
        <v>622</v>
      </c>
      <c r="AN160" s="22">
        <v>2</v>
      </c>
    </row>
    <row r="161" spans="1:40">
      <c r="A161" s="6" cm="1">
        <f t="array" ref="A161">IF(COUNTIF(B$2:B161,B161)&gt;1,INDEX(A$1:A160,MATCH(B161,B$1:B160,0)),MAX(A$1:A160)+1)</f>
        <v>37</v>
      </c>
      <c r="B161" s="9" t="s">
        <v>613</v>
      </c>
      <c r="C161" s="10" t="s">
        <v>614</v>
      </c>
      <c r="D161" s="11" t="s">
        <v>649</v>
      </c>
      <c r="E161" s="9" t="s">
        <v>108</v>
      </c>
      <c r="F161" s="9" t="s">
        <v>650</v>
      </c>
      <c r="G161" s="9" t="s">
        <v>235</v>
      </c>
      <c r="H161" s="9" t="s">
        <v>236</v>
      </c>
      <c r="I161" s="9" t="s">
        <v>78</v>
      </c>
      <c r="J161" s="9" t="s">
        <v>79</v>
      </c>
      <c r="K161" s="9" t="s">
        <v>80</v>
      </c>
      <c r="L161" s="9"/>
      <c r="M161" s="9" t="s">
        <v>115</v>
      </c>
      <c r="N161" s="12">
        <v>3200</v>
      </c>
      <c r="O161" s="14">
        <v>145</v>
      </c>
      <c r="P161" s="14">
        <v>210</v>
      </c>
      <c r="Q161" s="14">
        <v>45</v>
      </c>
      <c r="R161" s="14">
        <v>60</v>
      </c>
      <c r="S161" s="14">
        <v>40.8</v>
      </c>
      <c r="T161" s="14">
        <v>12.4</v>
      </c>
      <c r="U161" s="14">
        <v>194.5</v>
      </c>
      <c r="V161" s="14">
        <v>217.5</v>
      </c>
      <c r="W161" s="14" t="s">
        <v>81</v>
      </c>
      <c r="X161" s="14" t="s">
        <v>81</v>
      </c>
      <c r="Y161" s="14" t="s">
        <v>172</v>
      </c>
      <c r="Z161" s="18">
        <v>3</v>
      </c>
      <c r="AA161" s="18">
        <v>1</v>
      </c>
      <c r="AB161" s="14" t="s">
        <v>84</v>
      </c>
      <c r="AC161" s="14">
        <v>122.092533</v>
      </c>
      <c r="AD161" s="14">
        <v>31.277101</v>
      </c>
      <c r="AE161" s="9" t="s">
        <v>618</v>
      </c>
      <c r="AF161" s="9" t="s">
        <v>619</v>
      </c>
      <c r="AG161" s="9" t="s">
        <v>620</v>
      </c>
      <c r="AH161" s="9" t="s">
        <v>87</v>
      </c>
      <c r="AI161" s="6">
        <v>2015</v>
      </c>
      <c r="AJ161" s="9" t="s">
        <v>621</v>
      </c>
      <c r="AK161" s="9" t="s">
        <v>89</v>
      </c>
      <c r="AL161" s="9" t="s">
        <v>98</v>
      </c>
      <c r="AM161" s="9" t="s">
        <v>622</v>
      </c>
      <c r="AN161" s="22">
        <v>7</v>
      </c>
    </row>
    <row r="162" spans="1:40">
      <c r="A162" s="6" cm="1">
        <f t="array" ref="A162">IF(COUNTIF(B$2:B162,B162)&gt;1,INDEX(A$1:A161,MATCH(B162,B$1:B161,0)),MAX(A$1:A161)+1)</f>
        <v>37</v>
      </c>
      <c r="B162" s="7" t="s">
        <v>613</v>
      </c>
      <c r="C162" s="3" t="s">
        <v>614</v>
      </c>
      <c r="D162" s="8" t="s">
        <v>651</v>
      </c>
      <c r="E162" s="7" t="s">
        <v>652</v>
      </c>
      <c r="F162" s="7" t="s">
        <v>653</v>
      </c>
      <c r="G162" s="7" t="s">
        <v>654</v>
      </c>
      <c r="H162" s="7" t="s">
        <v>655</v>
      </c>
      <c r="I162" s="7" t="s">
        <v>112</v>
      </c>
      <c r="J162" s="7" t="s">
        <v>79</v>
      </c>
      <c r="K162" s="7" t="s">
        <v>80</v>
      </c>
      <c r="L162" s="7"/>
      <c r="M162" s="7" t="s">
        <v>82</v>
      </c>
      <c r="N162" s="15">
        <v>2400</v>
      </c>
      <c r="O162" s="13"/>
      <c r="P162" s="13"/>
      <c r="Q162" s="13"/>
      <c r="R162" s="13"/>
      <c r="S162" s="13">
        <v>19.9</v>
      </c>
      <c r="T162" s="13">
        <v>3.5</v>
      </c>
      <c r="U162" s="13">
        <v>138.8</v>
      </c>
      <c r="V162" s="13">
        <v>159</v>
      </c>
      <c r="W162" s="13" t="s">
        <v>82</v>
      </c>
      <c r="X162" s="13" t="s">
        <v>369</v>
      </c>
      <c r="Y162" s="13" t="s">
        <v>206</v>
      </c>
      <c r="Z162" s="17">
        <v>3</v>
      </c>
      <c r="AA162" s="17">
        <v>1</v>
      </c>
      <c r="AB162" s="13" t="s">
        <v>84</v>
      </c>
      <c r="AC162" s="13">
        <v>122.092533</v>
      </c>
      <c r="AD162" s="13">
        <v>31.277101</v>
      </c>
      <c r="AE162" s="7" t="s">
        <v>618</v>
      </c>
      <c r="AF162" s="7" t="s">
        <v>619</v>
      </c>
      <c r="AG162" s="7" t="s">
        <v>620</v>
      </c>
      <c r="AH162" s="7" t="s">
        <v>87</v>
      </c>
      <c r="AI162" s="6">
        <v>2015</v>
      </c>
      <c r="AJ162" s="9" t="s">
        <v>621</v>
      </c>
      <c r="AK162" s="9" t="s">
        <v>89</v>
      </c>
      <c r="AL162" s="9" t="s">
        <v>98</v>
      </c>
      <c r="AM162" s="9" t="s">
        <v>622</v>
      </c>
      <c r="AN162" s="22">
        <v>10</v>
      </c>
    </row>
    <row r="163" spans="1:40">
      <c r="A163" s="6" cm="1">
        <f t="array" ref="A163">IF(COUNTIF(B$2:B163,B163)&gt;1,INDEX(A$1:A162,MATCH(B163,B$1:B162,0)),MAX(A$1:A162)+1)</f>
        <v>38</v>
      </c>
      <c r="B163" s="9" t="s">
        <v>656</v>
      </c>
      <c r="C163" s="10" t="s">
        <v>657</v>
      </c>
      <c r="D163" s="11" t="s">
        <v>658</v>
      </c>
      <c r="E163" s="9" t="s">
        <v>373</v>
      </c>
      <c r="F163" s="9" t="s">
        <v>659</v>
      </c>
      <c r="G163" s="9" t="s">
        <v>235</v>
      </c>
      <c r="H163" s="9" t="s">
        <v>660</v>
      </c>
      <c r="I163" s="9" t="s">
        <v>112</v>
      </c>
      <c r="J163" s="9" t="s">
        <v>79</v>
      </c>
      <c r="K163" s="9" t="s">
        <v>80</v>
      </c>
      <c r="L163" s="9"/>
      <c r="M163" s="9" t="s">
        <v>275</v>
      </c>
      <c r="N163" s="12"/>
      <c r="O163" s="14"/>
      <c r="P163" s="14"/>
      <c r="Q163" s="14"/>
      <c r="R163" s="14"/>
      <c r="S163" s="14">
        <v>17.9</v>
      </c>
      <c r="T163" s="14">
        <v>4.4</v>
      </c>
      <c r="U163" s="14">
        <v>86.7</v>
      </c>
      <c r="V163" s="14">
        <v>34.2</v>
      </c>
      <c r="W163" s="14" t="s">
        <v>82</v>
      </c>
      <c r="X163" s="14" t="s">
        <v>661</v>
      </c>
      <c r="Y163" s="14" t="s">
        <v>172</v>
      </c>
      <c r="Z163" s="18">
        <v>2</v>
      </c>
      <c r="AA163" s="18">
        <v>3</v>
      </c>
      <c r="AB163" s="14" t="s">
        <v>219</v>
      </c>
      <c r="AC163" s="14">
        <v>113.066666666666</v>
      </c>
      <c r="AD163" s="14">
        <v>23.6</v>
      </c>
      <c r="AE163" s="9" t="s">
        <v>662</v>
      </c>
      <c r="AF163" s="9" t="s">
        <v>663</v>
      </c>
      <c r="AG163" s="9" t="s">
        <v>620</v>
      </c>
      <c r="AH163" s="9" t="s">
        <v>87</v>
      </c>
      <c r="AI163" s="6">
        <v>2017</v>
      </c>
      <c r="AJ163" s="9" t="s">
        <v>152</v>
      </c>
      <c r="AK163" s="9" t="s">
        <v>664</v>
      </c>
      <c r="AL163" s="9" t="s">
        <v>665</v>
      </c>
      <c r="AM163" s="9"/>
      <c r="AN163" s="22">
        <v>273</v>
      </c>
    </row>
    <row r="164" spans="1:40">
      <c r="A164" s="6" cm="1">
        <f t="array" ref="A164">IF(COUNTIF(B$2:B164,B164)&gt;1,INDEX(A$1:A163,MATCH(B164,B$1:B163,0)),MAX(A$1:A163)+1)</f>
        <v>38</v>
      </c>
      <c r="B164" s="7" t="s">
        <v>656</v>
      </c>
      <c r="C164" s="3" t="s">
        <v>657</v>
      </c>
      <c r="D164" s="8" t="s">
        <v>666</v>
      </c>
      <c r="E164" s="7" t="s">
        <v>507</v>
      </c>
      <c r="F164" s="7" t="s">
        <v>667</v>
      </c>
      <c r="G164" s="7" t="s">
        <v>235</v>
      </c>
      <c r="H164" s="7" t="s">
        <v>660</v>
      </c>
      <c r="I164" s="7" t="s">
        <v>78</v>
      </c>
      <c r="J164" s="7" t="s">
        <v>79</v>
      </c>
      <c r="K164" s="7" t="s">
        <v>80</v>
      </c>
      <c r="L164" s="7"/>
      <c r="M164" s="9" t="s">
        <v>275</v>
      </c>
      <c r="N164" s="15">
        <v>2550</v>
      </c>
      <c r="O164" s="13"/>
      <c r="P164" s="13"/>
      <c r="Q164" s="13"/>
      <c r="R164" s="13"/>
      <c r="S164" s="13">
        <v>19.4</v>
      </c>
      <c r="T164" s="13">
        <v>4.1</v>
      </c>
      <c r="U164" s="13">
        <v>91.8</v>
      </c>
      <c r="V164" s="13">
        <v>44.3</v>
      </c>
      <c r="W164" s="13" t="s">
        <v>82</v>
      </c>
      <c r="X164" s="13" t="s">
        <v>81</v>
      </c>
      <c r="Y164" s="13" t="s">
        <v>627</v>
      </c>
      <c r="Z164" s="17">
        <v>2</v>
      </c>
      <c r="AA164" s="17">
        <v>1</v>
      </c>
      <c r="AB164" s="13" t="s">
        <v>219</v>
      </c>
      <c r="AC164" s="13">
        <v>113.066666666666</v>
      </c>
      <c r="AD164" s="13">
        <v>23.6</v>
      </c>
      <c r="AE164" s="7" t="s">
        <v>662</v>
      </c>
      <c r="AF164" s="7" t="s">
        <v>663</v>
      </c>
      <c r="AG164" s="7" t="s">
        <v>620</v>
      </c>
      <c r="AH164" s="7" t="s">
        <v>87</v>
      </c>
      <c r="AI164" s="21">
        <v>2017</v>
      </c>
      <c r="AJ164" s="7" t="s">
        <v>152</v>
      </c>
      <c r="AK164" s="7" t="s">
        <v>89</v>
      </c>
      <c r="AL164" s="7" t="s">
        <v>98</v>
      </c>
      <c r="AM164" s="7"/>
      <c r="AN164" s="22">
        <v>399</v>
      </c>
    </row>
    <row r="165" spans="1:40">
      <c r="A165" s="6" cm="1">
        <f t="array" ref="A165">IF(COUNTIF(B$2:B165,B165)&gt;1,INDEX(A$1:A164,MATCH(B165,B$1:B164,0)),MAX(A$1:A164)+1)</f>
        <v>38</v>
      </c>
      <c r="B165" s="9" t="s">
        <v>656</v>
      </c>
      <c r="C165" s="10" t="s">
        <v>657</v>
      </c>
      <c r="D165" s="11" t="s">
        <v>668</v>
      </c>
      <c r="E165" s="9" t="s">
        <v>108</v>
      </c>
      <c r="F165" s="9" t="s">
        <v>669</v>
      </c>
      <c r="G165" s="9" t="s">
        <v>235</v>
      </c>
      <c r="H165" s="9" t="s">
        <v>670</v>
      </c>
      <c r="I165" s="9" t="s">
        <v>112</v>
      </c>
      <c r="J165" s="9" t="s">
        <v>79</v>
      </c>
      <c r="K165" s="9" t="s">
        <v>80</v>
      </c>
      <c r="L165" s="9"/>
      <c r="M165" s="9" t="s">
        <v>275</v>
      </c>
      <c r="N165" s="12">
        <v>4300</v>
      </c>
      <c r="O165" s="14"/>
      <c r="P165" s="14"/>
      <c r="Q165" s="14"/>
      <c r="R165" s="14"/>
      <c r="S165" s="14">
        <v>21.8</v>
      </c>
      <c r="T165" s="14">
        <v>6.8</v>
      </c>
      <c r="U165" s="14">
        <v>92.4</v>
      </c>
      <c r="V165" s="14">
        <v>51.5</v>
      </c>
      <c r="W165" s="14" t="s">
        <v>115</v>
      </c>
      <c r="X165" s="14" t="s">
        <v>222</v>
      </c>
      <c r="Y165" s="14" t="s">
        <v>627</v>
      </c>
      <c r="Z165" s="18">
        <v>2</v>
      </c>
      <c r="AA165" s="18">
        <v>2</v>
      </c>
      <c r="AB165" s="14" t="s">
        <v>219</v>
      </c>
      <c r="AC165" s="14">
        <v>113.066666666666</v>
      </c>
      <c r="AD165" s="14">
        <v>23.6</v>
      </c>
      <c r="AE165" s="9" t="s">
        <v>662</v>
      </c>
      <c r="AF165" s="9" t="s">
        <v>663</v>
      </c>
      <c r="AG165" s="9" t="s">
        <v>620</v>
      </c>
      <c r="AH165" s="9" t="s">
        <v>87</v>
      </c>
      <c r="AI165" s="6">
        <v>2017</v>
      </c>
      <c r="AJ165" s="9" t="s">
        <v>152</v>
      </c>
      <c r="AK165" s="9" t="s">
        <v>89</v>
      </c>
      <c r="AL165" s="7" t="s">
        <v>98</v>
      </c>
      <c r="AM165" s="9"/>
      <c r="AN165" s="22">
        <v>406</v>
      </c>
    </row>
    <row r="166" spans="1:40">
      <c r="A166" s="6" cm="1">
        <f t="array" ref="A166">IF(COUNTIF(B$2:B166,B166)&gt;1,INDEX(A$1:A165,MATCH(B166,B$1:B165,0)),MAX(A$1:A165)+1)</f>
        <v>38</v>
      </c>
      <c r="B166" s="7" t="s">
        <v>656</v>
      </c>
      <c r="C166" s="3" t="s">
        <v>657</v>
      </c>
      <c r="D166" s="8" t="s">
        <v>671</v>
      </c>
      <c r="E166" s="7" t="s">
        <v>108</v>
      </c>
      <c r="F166" s="7" t="s">
        <v>672</v>
      </c>
      <c r="G166" s="7" t="s">
        <v>235</v>
      </c>
      <c r="H166" s="7" t="s">
        <v>673</v>
      </c>
      <c r="I166" s="7" t="s">
        <v>78</v>
      </c>
      <c r="J166" s="7" t="s">
        <v>79</v>
      </c>
      <c r="K166" s="7" t="s">
        <v>80</v>
      </c>
      <c r="L166" s="7"/>
      <c r="M166" s="9" t="s">
        <v>275</v>
      </c>
      <c r="N166" s="15">
        <v>1900</v>
      </c>
      <c r="O166" s="13"/>
      <c r="P166" s="13"/>
      <c r="Q166" s="13"/>
      <c r="R166" s="13"/>
      <c r="S166" s="13">
        <v>23.2</v>
      </c>
      <c r="T166" s="13">
        <v>5.4</v>
      </c>
      <c r="U166" s="13">
        <v>97.5</v>
      </c>
      <c r="V166" s="13">
        <v>36</v>
      </c>
      <c r="W166" s="13" t="s">
        <v>115</v>
      </c>
      <c r="X166" s="13" t="s">
        <v>222</v>
      </c>
      <c r="Y166" s="13" t="s">
        <v>206</v>
      </c>
      <c r="Z166" s="17">
        <v>1</v>
      </c>
      <c r="AA166" s="17">
        <v>1</v>
      </c>
      <c r="AB166" s="13" t="s">
        <v>84</v>
      </c>
      <c r="AC166" s="13">
        <v>113.066666666666</v>
      </c>
      <c r="AD166" s="13">
        <v>23.6</v>
      </c>
      <c r="AE166" s="7" t="s">
        <v>662</v>
      </c>
      <c r="AF166" s="7" t="s">
        <v>663</v>
      </c>
      <c r="AG166" s="7" t="s">
        <v>620</v>
      </c>
      <c r="AH166" s="7" t="s">
        <v>87</v>
      </c>
      <c r="AI166" s="21">
        <v>2017</v>
      </c>
      <c r="AJ166" s="7" t="s">
        <v>152</v>
      </c>
      <c r="AK166" s="7" t="s">
        <v>89</v>
      </c>
      <c r="AL166" s="7" t="s">
        <v>98</v>
      </c>
      <c r="AM166" s="7"/>
      <c r="AN166" s="22">
        <v>249</v>
      </c>
    </row>
    <row r="167" spans="1:40">
      <c r="A167" s="6" cm="1">
        <f t="array" ref="A167">IF(COUNTIF(B$2:B167,B167)&gt;1,INDEX(A$1:A166,MATCH(B167,B$1:B166,0)),MAX(A$1:A166)+1)</f>
        <v>38</v>
      </c>
      <c r="B167" s="9" t="s">
        <v>656</v>
      </c>
      <c r="C167" s="10" t="s">
        <v>657</v>
      </c>
      <c r="D167" s="11" t="s">
        <v>674</v>
      </c>
      <c r="E167" s="9" t="s">
        <v>108</v>
      </c>
      <c r="F167" s="9" t="s">
        <v>675</v>
      </c>
      <c r="G167" s="9" t="s">
        <v>235</v>
      </c>
      <c r="H167" s="9" t="s">
        <v>676</v>
      </c>
      <c r="I167" s="9" t="s">
        <v>112</v>
      </c>
      <c r="J167" s="9" t="s">
        <v>79</v>
      </c>
      <c r="K167" s="9" t="s">
        <v>80</v>
      </c>
      <c r="L167" s="9"/>
      <c r="M167" s="9" t="s">
        <v>275</v>
      </c>
      <c r="N167" s="12">
        <v>5000</v>
      </c>
      <c r="O167" s="14"/>
      <c r="P167" s="14"/>
      <c r="Q167" s="14"/>
      <c r="R167" s="14"/>
      <c r="S167" s="14">
        <v>16.1</v>
      </c>
      <c r="T167" s="14">
        <v>3.4</v>
      </c>
      <c r="U167" s="14">
        <v>87</v>
      </c>
      <c r="V167" s="14">
        <v>23.9</v>
      </c>
      <c r="W167" s="14" t="s">
        <v>115</v>
      </c>
      <c r="X167" s="14" t="s">
        <v>222</v>
      </c>
      <c r="Y167" s="14" t="s">
        <v>172</v>
      </c>
      <c r="Z167" s="18">
        <v>3</v>
      </c>
      <c r="AA167" s="18">
        <v>3</v>
      </c>
      <c r="AB167" s="14" t="s">
        <v>84</v>
      </c>
      <c r="AC167" s="14">
        <v>113.066666666666</v>
      </c>
      <c r="AD167" s="14">
        <v>23.6</v>
      </c>
      <c r="AE167" s="9" t="s">
        <v>662</v>
      </c>
      <c r="AF167" s="9" t="s">
        <v>663</v>
      </c>
      <c r="AG167" s="9" t="s">
        <v>620</v>
      </c>
      <c r="AH167" s="9" t="s">
        <v>87</v>
      </c>
      <c r="AI167" s="6">
        <v>2017</v>
      </c>
      <c r="AJ167" s="9" t="s">
        <v>152</v>
      </c>
      <c r="AK167" s="9" t="s">
        <v>89</v>
      </c>
      <c r="AL167" s="7" t="s">
        <v>98</v>
      </c>
      <c r="AM167" s="9"/>
      <c r="AN167" s="22">
        <v>262</v>
      </c>
    </row>
    <row r="168" spans="1:40">
      <c r="A168" s="6" cm="1">
        <f t="array" ref="A168">IF(COUNTIF(B$2:B168,B168)&gt;1,INDEX(A$1:A167,MATCH(B168,B$1:B167,0)),MAX(A$1:A167)+1)</f>
        <v>38</v>
      </c>
      <c r="B168" s="7" t="s">
        <v>656</v>
      </c>
      <c r="C168" s="3" t="s">
        <v>657</v>
      </c>
      <c r="D168" s="8" t="s">
        <v>677</v>
      </c>
      <c r="E168" s="7" t="s">
        <v>108</v>
      </c>
      <c r="F168" s="7" t="s">
        <v>678</v>
      </c>
      <c r="G168" s="7" t="s">
        <v>235</v>
      </c>
      <c r="H168" s="7" t="s">
        <v>679</v>
      </c>
      <c r="I168" s="7" t="s">
        <v>78</v>
      </c>
      <c r="J168" s="7" t="s">
        <v>79</v>
      </c>
      <c r="K168" s="7" t="s">
        <v>80</v>
      </c>
      <c r="L168" s="7" t="s">
        <v>680</v>
      </c>
      <c r="M168" s="9" t="s">
        <v>275</v>
      </c>
      <c r="N168" s="15">
        <v>4420</v>
      </c>
      <c r="O168" s="13"/>
      <c r="P168" s="13"/>
      <c r="Q168" s="13"/>
      <c r="R168" s="13"/>
      <c r="S168" s="13">
        <v>11.3</v>
      </c>
      <c r="T168" s="13">
        <v>4</v>
      </c>
      <c r="U168" s="13">
        <v>70.9</v>
      </c>
      <c r="V168" s="13">
        <v>16.3</v>
      </c>
      <c r="W168" s="13" t="s">
        <v>81</v>
      </c>
      <c r="X168" s="13" t="s">
        <v>222</v>
      </c>
      <c r="Y168" s="13" t="s">
        <v>206</v>
      </c>
      <c r="Z168" s="17">
        <v>2</v>
      </c>
      <c r="AA168" s="17">
        <v>1</v>
      </c>
      <c r="AB168" s="13" t="s">
        <v>219</v>
      </c>
      <c r="AC168" s="13">
        <v>113.066666666666</v>
      </c>
      <c r="AD168" s="13">
        <v>23.6</v>
      </c>
      <c r="AE168" s="7" t="s">
        <v>662</v>
      </c>
      <c r="AF168" s="7" t="s">
        <v>663</v>
      </c>
      <c r="AG168" s="7" t="s">
        <v>620</v>
      </c>
      <c r="AH168" s="7" t="s">
        <v>87</v>
      </c>
      <c r="AI168" s="21">
        <v>2017</v>
      </c>
      <c r="AJ168" s="7" t="s">
        <v>152</v>
      </c>
      <c r="AK168" s="7" t="s">
        <v>89</v>
      </c>
      <c r="AL168" s="7" t="s">
        <v>98</v>
      </c>
      <c r="AM168" s="7"/>
      <c r="AN168" s="22">
        <v>150</v>
      </c>
    </row>
    <row r="169" spans="1:40">
      <c r="A169" s="6" cm="1">
        <f t="array" ref="A169">IF(COUNTIF(B$2:B169,B169)&gt;1,INDEX(A$1:A168,MATCH(B169,B$1:B168,0)),MAX(A$1:A168)+1)</f>
        <v>38</v>
      </c>
      <c r="B169" s="9" t="s">
        <v>656</v>
      </c>
      <c r="C169" s="10" t="s">
        <v>657</v>
      </c>
      <c r="D169" s="11" t="s">
        <v>681</v>
      </c>
      <c r="E169" s="9" t="s">
        <v>682</v>
      </c>
      <c r="F169" s="9" t="s">
        <v>683</v>
      </c>
      <c r="G169" s="9" t="s">
        <v>235</v>
      </c>
      <c r="H169" s="9" t="s">
        <v>684</v>
      </c>
      <c r="I169" s="9" t="s">
        <v>78</v>
      </c>
      <c r="J169" s="9" t="s">
        <v>79</v>
      </c>
      <c r="K169" s="9" t="s">
        <v>80</v>
      </c>
      <c r="L169" s="9"/>
      <c r="M169" s="9" t="s">
        <v>275</v>
      </c>
      <c r="N169" s="12">
        <v>2000</v>
      </c>
      <c r="O169" s="14"/>
      <c r="P169" s="14"/>
      <c r="Q169" s="14"/>
      <c r="R169" s="14"/>
      <c r="S169" s="14">
        <v>32.4</v>
      </c>
      <c r="T169" s="14">
        <v>6</v>
      </c>
      <c r="U169" s="14">
        <v>158.1</v>
      </c>
      <c r="V169" s="14">
        <v>156.9</v>
      </c>
      <c r="W169" s="14" t="s">
        <v>115</v>
      </c>
      <c r="X169" s="14" t="s">
        <v>222</v>
      </c>
      <c r="Y169" s="14" t="s">
        <v>382</v>
      </c>
      <c r="Z169" s="18">
        <v>3</v>
      </c>
      <c r="AA169" s="18">
        <v>1</v>
      </c>
      <c r="AB169" s="14" t="s">
        <v>219</v>
      </c>
      <c r="AC169" s="14">
        <v>113.066666666666</v>
      </c>
      <c r="AD169" s="14">
        <v>23.6</v>
      </c>
      <c r="AE169" s="9" t="s">
        <v>662</v>
      </c>
      <c r="AF169" s="9" t="s">
        <v>663</v>
      </c>
      <c r="AG169" s="9" t="s">
        <v>620</v>
      </c>
      <c r="AH169" s="9" t="s">
        <v>87</v>
      </c>
      <c r="AI169" s="6">
        <v>2017</v>
      </c>
      <c r="AJ169" s="9" t="s">
        <v>152</v>
      </c>
      <c r="AK169" s="9" t="s">
        <v>89</v>
      </c>
      <c r="AL169" s="7" t="s">
        <v>98</v>
      </c>
      <c r="AM169" s="9"/>
      <c r="AN169" s="22">
        <v>1250</v>
      </c>
    </row>
    <row r="170" spans="1:40">
      <c r="A170" s="6" cm="1">
        <f t="array" ref="A170">IF(COUNTIF(B$2:B170,B170)&gt;1,INDEX(A$1:A169,MATCH(B170,B$1:B169,0)),MAX(A$1:A169)+1)</f>
        <v>38</v>
      </c>
      <c r="B170" s="7" t="s">
        <v>656</v>
      </c>
      <c r="C170" s="3" t="s">
        <v>657</v>
      </c>
      <c r="D170" s="8" t="s">
        <v>685</v>
      </c>
      <c r="E170" s="7" t="s">
        <v>396</v>
      </c>
      <c r="F170" s="7" t="s">
        <v>686</v>
      </c>
      <c r="G170" s="7" t="s">
        <v>235</v>
      </c>
      <c r="H170" s="7" t="s">
        <v>259</v>
      </c>
      <c r="I170" s="7" t="s">
        <v>112</v>
      </c>
      <c r="J170" s="7" t="s">
        <v>79</v>
      </c>
      <c r="K170" s="7" t="s">
        <v>80</v>
      </c>
      <c r="L170" s="7"/>
      <c r="M170" s="9" t="s">
        <v>275</v>
      </c>
      <c r="N170" s="15"/>
      <c r="O170" s="13"/>
      <c r="P170" s="13"/>
      <c r="Q170" s="13"/>
      <c r="R170" s="13"/>
      <c r="S170" s="13">
        <v>30.9</v>
      </c>
      <c r="T170" s="13">
        <v>5.3</v>
      </c>
      <c r="U170" s="13">
        <v>146.6</v>
      </c>
      <c r="V170" s="13">
        <v>102.7</v>
      </c>
      <c r="W170" s="13" t="s">
        <v>81</v>
      </c>
      <c r="X170" s="13" t="s">
        <v>81</v>
      </c>
      <c r="Y170" s="13" t="s">
        <v>83</v>
      </c>
      <c r="Z170" s="17">
        <v>2</v>
      </c>
      <c r="AA170" s="17">
        <v>1</v>
      </c>
      <c r="AB170" s="13" t="s">
        <v>261</v>
      </c>
      <c r="AC170" s="13">
        <v>113.066666666666</v>
      </c>
      <c r="AD170" s="13">
        <v>23.6</v>
      </c>
      <c r="AE170" s="7" t="s">
        <v>662</v>
      </c>
      <c r="AF170" s="7" t="s">
        <v>663</v>
      </c>
      <c r="AG170" s="7" t="s">
        <v>620</v>
      </c>
      <c r="AH170" s="7" t="s">
        <v>87</v>
      </c>
      <c r="AI170" s="21">
        <v>2017</v>
      </c>
      <c r="AJ170" s="7" t="s">
        <v>152</v>
      </c>
      <c r="AK170" s="7" t="s">
        <v>89</v>
      </c>
      <c r="AL170" s="7" t="s">
        <v>98</v>
      </c>
      <c r="AM170" s="7"/>
      <c r="AN170" s="22">
        <v>288</v>
      </c>
    </row>
    <row r="171" spans="1:40">
      <c r="A171" s="6" cm="1">
        <f t="array" ref="A171">IF(COUNTIF(B$2:B171,B171)&gt;1,INDEX(A$1:A170,MATCH(B171,B$1:B170,0)),MAX(A$1:A170)+1)</f>
        <v>38</v>
      </c>
      <c r="B171" s="9" t="s">
        <v>656</v>
      </c>
      <c r="C171" s="10" t="s">
        <v>657</v>
      </c>
      <c r="D171" s="11" t="s">
        <v>651</v>
      </c>
      <c r="E171" s="9" t="s">
        <v>652</v>
      </c>
      <c r="F171" s="9" t="s">
        <v>653</v>
      </c>
      <c r="G171" s="9" t="s">
        <v>654</v>
      </c>
      <c r="H171" s="9" t="s">
        <v>655</v>
      </c>
      <c r="I171" s="9" t="s">
        <v>112</v>
      </c>
      <c r="J171" s="9" t="s">
        <v>79</v>
      </c>
      <c r="K171" s="9" t="s">
        <v>80</v>
      </c>
      <c r="L171" s="9"/>
      <c r="M171" s="9" t="s">
        <v>687</v>
      </c>
      <c r="N171" s="12">
        <v>2400</v>
      </c>
      <c r="O171" s="14"/>
      <c r="P171" s="14"/>
      <c r="Q171" s="14"/>
      <c r="R171" s="14"/>
      <c r="S171" s="14">
        <v>19.9</v>
      </c>
      <c r="T171" s="14">
        <v>3.5</v>
      </c>
      <c r="U171" s="14">
        <v>138.8</v>
      </c>
      <c r="V171" s="14">
        <v>159</v>
      </c>
      <c r="W171" s="14" t="s">
        <v>82</v>
      </c>
      <c r="X171" s="14" t="s">
        <v>369</v>
      </c>
      <c r="Y171" s="14" t="s">
        <v>206</v>
      </c>
      <c r="Z171" s="18">
        <v>3</v>
      </c>
      <c r="AA171" s="18">
        <v>1</v>
      </c>
      <c r="AB171" s="14" t="s">
        <v>84</v>
      </c>
      <c r="AC171" s="14">
        <v>113.066666666666</v>
      </c>
      <c r="AD171" s="14">
        <v>23.6</v>
      </c>
      <c r="AE171" s="9" t="s">
        <v>662</v>
      </c>
      <c r="AF171" s="9" t="s">
        <v>663</v>
      </c>
      <c r="AG171" s="9" t="s">
        <v>620</v>
      </c>
      <c r="AH171" s="9" t="s">
        <v>87</v>
      </c>
      <c r="AI171" s="6">
        <v>2017</v>
      </c>
      <c r="AJ171" s="9" t="s">
        <v>152</v>
      </c>
      <c r="AK171" s="9" t="s">
        <v>89</v>
      </c>
      <c r="AL171" s="7" t="s">
        <v>98</v>
      </c>
      <c r="AM171" s="9"/>
      <c r="AN171" s="22">
        <v>304</v>
      </c>
    </row>
    <row r="172" spans="1:40">
      <c r="A172" s="6" cm="1">
        <f t="array" ref="A172">IF(COUNTIF(B$2:B172,B172)&gt;1,INDEX(A$1:A171,MATCH(B172,B$1:B171,0)),MAX(A$1:A171)+1)</f>
        <v>38</v>
      </c>
      <c r="B172" s="9" t="s">
        <v>656</v>
      </c>
      <c r="C172" s="10" t="s">
        <v>657</v>
      </c>
      <c r="D172" s="11" t="s">
        <v>688</v>
      </c>
      <c r="E172" s="9" t="s">
        <v>108</v>
      </c>
      <c r="F172" s="9" t="s">
        <v>689</v>
      </c>
      <c r="G172" s="9" t="s">
        <v>690</v>
      </c>
      <c r="H172" s="9" t="s">
        <v>691</v>
      </c>
      <c r="I172" s="9" t="s">
        <v>112</v>
      </c>
      <c r="J172" s="9" t="s">
        <v>79</v>
      </c>
      <c r="K172" s="9" t="s">
        <v>80</v>
      </c>
      <c r="L172" s="9" t="s">
        <v>692</v>
      </c>
      <c r="M172" s="9" t="s">
        <v>129</v>
      </c>
      <c r="N172" s="12">
        <v>3100</v>
      </c>
      <c r="O172" s="14">
        <v>26</v>
      </c>
      <c r="P172" s="14">
        <v>39</v>
      </c>
      <c r="Q172" s="14"/>
      <c r="R172" s="14">
        <v>17</v>
      </c>
      <c r="S172" s="14">
        <v>42.2</v>
      </c>
      <c r="T172" s="14">
        <v>5.7</v>
      </c>
      <c r="U172" s="14">
        <v>73.3</v>
      </c>
      <c r="V172" s="14">
        <v>31.1</v>
      </c>
      <c r="W172" s="14" t="s">
        <v>115</v>
      </c>
      <c r="X172" s="14" t="s">
        <v>116</v>
      </c>
      <c r="Y172" s="14" t="s">
        <v>276</v>
      </c>
      <c r="Z172" s="18">
        <v>2</v>
      </c>
      <c r="AA172" s="18">
        <v>1</v>
      </c>
      <c r="AB172" s="14" t="s">
        <v>219</v>
      </c>
      <c r="AC172" s="14">
        <v>113.066666666666</v>
      </c>
      <c r="AD172" s="14">
        <v>23.6</v>
      </c>
      <c r="AE172" s="9" t="s">
        <v>662</v>
      </c>
      <c r="AF172" s="9" t="s">
        <v>663</v>
      </c>
      <c r="AG172" s="9" t="s">
        <v>620</v>
      </c>
      <c r="AH172" s="9" t="s">
        <v>87</v>
      </c>
      <c r="AI172" s="6">
        <v>2017</v>
      </c>
      <c r="AJ172" s="9" t="s">
        <v>152</v>
      </c>
      <c r="AK172" s="9" t="s">
        <v>89</v>
      </c>
      <c r="AL172" s="7" t="s">
        <v>98</v>
      </c>
      <c r="AM172" s="9"/>
      <c r="AN172" s="22">
        <v>191</v>
      </c>
    </row>
    <row r="173" spans="1:40">
      <c r="A173" s="6" cm="1">
        <f t="array" ref="A173">IF(COUNTIF(B$2:B173,B173)&gt;1,INDEX(A$1:A172,MATCH(B173,B$1:B172,0)),MAX(A$1:A172)+1)</f>
        <v>39</v>
      </c>
      <c r="B173" s="9" t="s">
        <v>693</v>
      </c>
      <c r="C173" s="10" t="s">
        <v>694</v>
      </c>
      <c r="D173" s="11" t="s">
        <v>695</v>
      </c>
      <c r="E173" s="9" t="s">
        <v>108</v>
      </c>
      <c r="F173" s="9" t="s">
        <v>696</v>
      </c>
      <c r="G173" s="9" t="s">
        <v>140</v>
      </c>
      <c r="H173" s="9" t="s">
        <v>639</v>
      </c>
      <c r="I173" s="9" t="s">
        <v>112</v>
      </c>
      <c r="J173" s="9" t="s">
        <v>79</v>
      </c>
      <c r="K173" s="9" t="s">
        <v>161</v>
      </c>
      <c r="L173" s="9" t="s">
        <v>697</v>
      </c>
      <c r="M173" s="9" t="s">
        <v>115</v>
      </c>
      <c r="N173" s="12"/>
      <c r="O173" s="14"/>
      <c r="P173" s="14"/>
      <c r="Q173" s="14"/>
      <c r="R173" s="14"/>
      <c r="S173" s="14">
        <v>92.1</v>
      </c>
      <c r="T173" s="14">
        <v>6.6</v>
      </c>
      <c r="U173" s="14">
        <v>233</v>
      </c>
      <c r="V173" s="14">
        <v>364.6</v>
      </c>
      <c r="W173" s="14" t="s">
        <v>115</v>
      </c>
      <c r="X173" s="14" t="s">
        <v>81</v>
      </c>
      <c r="Y173" s="14" t="s">
        <v>382</v>
      </c>
      <c r="Z173" s="18">
        <v>3</v>
      </c>
      <c r="AA173" s="18">
        <v>3</v>
      </c>
      <c r="AB173" s="14" t="s">
        <v>84</v>
      </c>
      <c r="AC173" s="14">
        <v>111.745439</v>
      </c>
      <c r="AD173" s="14">
        <v>16.459793</v>
      </c>
      <c r="AE173" s="9" t="s">
        <v>698</v>
      </c>
      <c r="AF173" s="7" t="s">
        <v>699</v>
      </c>
      <c r="AG173" s="9" t="s">
        <v>620</v>
      </c>
      <c r="AH173" s="9" t="s">
        <v>87</v>
      </c>
      <c r="AI173" s="6">
        <v>2018</v>
      </c>
      <c r="AJ173" s="9" t="s">
        <v>152</v>
      </c>
      <c r="AK173" s="9" t="s">
        <v>664</v>
      </c>
      <c r="AL173" s="9" t="s">
        <v>700</v>
      </c>
      <c r="AM173" s="9" t="s">
        <v>490</v>
      </c>
      <c r="AN173" s="22">
        <v>2</v>
      </c>
    </row>
    <row r="174" spans="1:40">
      <c r="A174" s="6" cm="1">
        <f t="array" ref="A174">IF(COUNTIF(B$2:B174,B174)&gt;1,INDEX(A$1:A173,MATCH(B174,B$1:B173,0)),MAX(A$1:A173)+1)</f>
        <v>39</v>
      </c>
      <c r="B174" s="7" t="s">
        <v>693</v>
      </c>
      <c r="C174" s="3" t="s">
        <v>694</v>
      </c>
      <c r="D174" s="8" t="s">
        <v>701</v>
      </c>
      <c r="E174" s="7" t="s">
        <v>124</v>
      </c>
      <c r="F174" s="7" t="s">
        <v>702</v>
      </c>
      <c r="G174" s="7" t="s">
        <v>134</v>
      </c>
      <c r="H174" s="7" t="s">
        <v>319</v>
      </c>
      <c r="I174" s="7" t="s">
        <v>112</v>
      </c>
      <c r="J174" s="7" t="s">
        <v>79</v>
      </c>
      <c r="K174" s="7" t="s">
        <v>185</v>
      </c>
      <c r="L174" s="7" t="s">
        <v>703</v>
      </c>
      <c r="M174" s="7" t="s">
        <v>129</v>
      </c>
      <c r="N174" s="15">
        <v>100</v>
      </c>
      <c r="O174" s="13">
        <v>900</v>
      </c>
      <c r="P174" s="13">
        <v>1003</v>
      </c>
      <c r="Q174" s="13">
        <v>64</v>
      </c>
      <c r="R174" s="13">
        <v>76</v>
      </c>
      <c r="S174" s="13">
        <v>79.3</v>
      </c>
      <c r="T174" s="13">
        <v>21.5</v>
      </c>
      <c r="U174" s="13">
        <v>366.8</v>
      </c>
      <c r="V174" s="13">
        <v>1031.1</v>
      </c>
      <c r="W174" s="13" t="s">
        <v>115</v>
      </c>
      <c r="X174" s="13" t="s">
        <v>116</v>
      </c>
      <c r="Y174" s="13" t="s">
        <v>117</v>
      </c>
      <c r="Z174" s="17">
        <v>3</v>
      </c>
      <c r="AA174" s="17">
        <v>2</v>
      </c>
      <c r="AB174" s="13" t="s">
        <v>118</v>
      </c>
      <c r="AC174" s="13">
        <v>111.745439</v>
      </c>
      <c r="AD174" s="13">
        <v>16.459793</v>
      </c>
      <c r="AE174" s="7" t="s">
        <v>698</v>
      </c>
      <c r="AF174" s="7" t="s">
        <v>699</v>
      </c>
      <c r="AG174" s="7" t="s">
        <v>620</v>
      </c>
      <c r="AH174" s="7" t="s">
        <v>87</v>
      </c>
      <c r="AI174" s="21">
        <v>2018</v>
      </c>
      <c r="AJ174" s="20" t="s">
        <v>152</v>
      </c>
      <c r="AK174" s="9" t="s">
        <v>664</v>
      </c>
      <c r="AL174" s="9" t="s">
        <v>700</v>
      </c>
      <c r="AM174" s="9" t="s">
        <v>490</v>
      </c>
      <c r="AN174" s="22">
        <v>2</v>
      </c>
    </row>
    <row r="175" spans="1:40">
      <c r="A175" s="6" cm="1">
        <f t="array" ref="A175">IF(COUNTIF(B$2:B175,B175)&gt;1,INDEX(A$1:A174,MATCH(B175,B$1:B174,0)),MAX(A$1:A174)+1)</f>
        <v>39</v>
      </c>
      <c r="B175" s="9" t="s">
        <v>693</v>
      </c>
      <c r="C175" s="10" t="s">
        <v>694</v>
      </c>
      <c r="D175" s="11" t="s">
        <v>695</v>
      </c>
      <c r="E175" s="9" t="s">
        <v>108</v>
      </c>
      <c r="F175" s="9" t="s">
        <v>696</v>
      </c>
      <c r="G175" s="9" t="s">
        <v>140</v>
      </c>
      <c r="H175" s="9" t="s">
        <v>639</v>
      </c>
      <c r="I175" s="9" t="s">
        <v>112</v>
      </c>
      <c r="J175" s="9" t="s">
        <v>79</v>
      </c>
      <c r="K175" s="9" t="s">
        <v>161</v>
      </c>
      <c r="L175" s="9" t="s">
        <v>697</v>
      </c>
      <c r="M175" s="9" t="s">
        <v>115</v>
      </c>
      <c r="N175" s="12"/>
      <c r="O175" s="14"/>
      <c r="P175" s="14"/>
      <c r="Q175" s="14"/>
      <c r="R175" s="14"/>
      <c r="S175" s="14">
        <v>92.1</v>
      </c>
      <c r="T175" s="14">
        <v>6.6</v>
      </c>
      <c r="U175" s="14">
        <v>233</v>
      </c>
      <c r="V175" s="14">
        <v>364.6</v>
      </c>
      <c r="W175" s="14" t="s">
        <v>115</v>
      </c>
      <c r="X175" s="14" t="s">
        <v>81</v>
      </c>
      <c r="Y175" s="14" t="s">
        <v>382</v>
      </c>
      <c r="Z175" s="18">
        <v>3</v>
      </c>
      <c r="AA175" s="18">
        <v>3</v>
      </c>
      <c r="AB175" s="14" t="s">
        <v>84</v>
      </c>
      <c r="AC175" s="14">
        <v>111.745439</v>
      </c>
      <c r="AD175" s="14">
        <v>16.459793</v>
      </c>
      <c r="AE175" s="9" t="s">
        <v>698</v>
      </c>
      <c r="AF175" s="7" t="s">
        <v>699</v>
      </c>
      <c r="AG175" s="9" t="s">
        <v>620</v>
      </c>
      <c r="AH175" s="9" t="s">
        <v>87</v>
      </c>
      <c r="AI175" s="6">
        <v>2018</v>
      </c>
      <c r="AJ175" s="20" t="s">
        <v>152</v>
      </c>
      <c r="AK175" s="9" t="s">
        <v>664</v>
      </c>
      <c r="AL175" s="9" t="s">
        <v>700</v>
      </c>
      <c r="AM175" s="9" t="s">
        <v>490</v>
      </c>
      <c r="AN175" s="22">
        <v>35</v>
      </c>
    </row>
    <row r="176" spans="1:40">
      <c r="A176" s="6" cm="1">
        <f t="array" ref="A176">IF(COUNTIF(B$2:B176,B176)&gt;1,INDEX(A$1:A175,MATCH(B176,B$1:B175,0)),MAX(A$1:A175)+1)</f>
        <v>39</v>
      </c>
      <c r="B176" s="7" t="s">
        <v>693</v>
      </c>
      <c r="C176" s="3" t="s">
        <v>694</v>
      </c>
      <c r="D176" s="8" t="s">
        <v>701</v>
      </c>
      <c r="E176" s="7" t="s">
        <v>124</v>
      </c>
      <c r="F176" s="7" t="s">
        <v>702</v>
      </c>
      <c r="G176" s="7" t="s">
        <v>134</v>
      </c>
      <c r="H176" s="7" t="s">
        <v>319</v>
      </c>
      <c r="I176" s="7" t="s">
        <v>112</v>
      </c>
      <c r="J176" s="7" t="s">
        <v>79</v>
      </c>
      <c r="K176" s="7" t="s">
        <v>185</v>
      </c>
      <c r="L176" s="7" t="s">
        <v>703</v>
      </c>
      <c r="M176" s="7" t="s">
        <v>129</v>
      </c>
      <c r="N176" s="15">
        <v>100</v>
      </c>
      <c r="O176" s="13">
        <v>900</v>
      </c>
      <c r="P176" s="13">
        <v>1003</v>
      </c>
      <c r="Q176" s="13">
        <v>64</v>
      </c>
      <c r="R176" s="13">
        <v>76</v>
      </c>
      <c r="S176" s="13">
        <v>79.3</v>
      </c>
      <c r="T176" s="13">
        <v>21.5</v>
      </c>
      <c r="U176" s="13">
        <v>366.8</v>
      </c>
      <c r="V176" s="13">
        <v>1031.1</v>
      </c>
      <c r="W176" s="13" t="s">
        <v>115</v>
      </c>
      <c r="X176" s="13" t="s">
        <v>116</v>
      </c>
      <c r="Y176" s="13" t="s">
        <v>117</v>
      </c>
      <c r="Z176" s="17">
        <v>3</v>
      </c>
      <c r="AA176" s="17">
        <v>2</v>
      </c>
      <c r="AB176" s="13" t="s">
        <v>118</v>
      </c>
      <c r="AC176" s="13">
        <v>111.745439</v>
      </c>
      <c r="AD176" s="13">
        <v>16.459793</v>
      </c>
      <c r="AE176" s="7" t="s">
        <v>698</v>
      </c>
      <c r="AF176" s="7" t="s">
        <v>699</v>
      </c>
      <c r="AG176" s="7" t="s">
        <v>620</v>
      </c>
      <c r="AH176" s="7" t="s">
        <v>87</v>
      </c>
      <c r="AI176" s="21">
        <v>2018</v>
      </c>
      <c r="AJ176" s="20" t="s">
        <v>152</v>
      </c>
      <c r="AK176" s="9" t="s">
        <v>664</v>
      </c>
      <c r="AL176" s="9" t="s">
        <v>700</v>
      </c>
      <c r="AM176" s="9" t="s">
        <v>490</v>
      </c>
      <c r="AN176" s="22">
        <v>1</v>
      </c>
    </row>
    <row r="177" spans="1:40">
      <c r="A177" s="6" cm="1">
        <f t="array" ref="A177">IF(COUNTIF(B$2:B177,B177)&gt;1,INDEX(A$1:A176,MATCH(B177,B$1:B176,0)),MAX(A$1:A176)+1)</f>
        <v>39</v>
      </c>
      <c r="B177" s="9" t="s">
        <v>693</v>
      </c>
      <c r="C177" s="10" t="s">
        <v>694</v>
      </c>
      <c r="D177" s="11" t="s">
        <v>695</v>
      </c>
      <c r="E177" s="9" t="s">
        <v>108</v>
      </c>
      <c r="F177" s="9" t="s">
        <v>696</v>
      </c>
      <c r="G177" s="9" t="s">
        <v>140</v>
      </c>
      <c r="H177" s="9" t="s">
        <v>639</v>
      </c>
      <c r="I177" s="9" t="s">
        <v>112</v>
      </c>
      <c r="J177" s="9" t="s">
        <v>79</v>
      </c>
      <c r="K177" s="9" t="s">
        <v>161</v>
      </c>
      <c r="L177" s="9" t="s">
        <v>697</v>
      </c>
      <c r="M177" s="9" t="s">
        <v>115</v>
      </c>
      <c r="N177" s="12"/>
      <c r="O177" s="14"/>
      <c r="P177" s="14"/>
      <c r="Q177" s="14"/>
      <c r="R177" s="14"/>
      <c r="S177" s="14">
        <v>92.1</v>
      </c>
      <c r="T177" s="14">
        <v>6.6</v>
      </c>
      <c r="U177" s="14">
        <v>233</v>
      </c>
      <c r="V177" s="14">
        <v>364.6</v>
      </c>
      <c r="W177" s="14" t="s">
        <v>115</v>
      </c>
      <c r="X177" s="14" t="s">
        <v>81</v>
      </c>
      <c r="Y177" s="14" t="s">
        <v>382</v>
      </c>
      <c r="Z177" s="18">
        <v>3</v>
      </c>
      <c r="AA177" s="18">
        <v>3</v>
      </c>
      <c r="AB177" s="14" t="s">
        <v>84</v>
      </c>
      <c r="AC177" s="14">
        <v>111.745439</v>
      </c>
      <c r="AD177" s="14">
        <v>16.459793</v>
      </c>
      <c r="AE177" s="9" t="s">
        <v>698</v>
      </c>
      <c r="AF177" s="7" t="s">
        <v>699</v>
      </c>
      <c r="AG177" s="9" t="s">
        <v>620</v>
      </c>
      <c r="AH177" s="9" t="s">
        <v>87</v>
      </c>
      <c r="AI177" s="6">
        <v>2018</v>
      </c>
      <c r="AJ177" s="20" t="s">
        <v>152</v>
      </c>
      <c r="AK177" s="9" t="s">
        <v>664</v>
      </c>
      <c r="AL177" s="9" t="s">
        <v>700</v>
      </c>
      <c r="AM177" s="9" t="s">
        <v>490</v>
      </c>
      <c r="AN177" s="22">
        <v>10</v>
      </c>
    </row>
  </sheetData>
  <dataValidations count="1">
    <dataValidation type="list" allowBlank="1" showInputMessage="1" showErrorMessage="1" sqref="AH1 AH98 AH99 AH100 AH101 AH144 AH145 AH2:AH35 AH36:AH43 AH44:AH50 AH51:AH58 AH62:AH95 AH96:AH97 AH102:AH106 AH107:AH112 AH113:AH129 AH130:AH137 AH138:AH139 AH140:AH143 AH146:AH148 AH149:AH150 AH151:AH162 AH163:AH177">
      <formula1>"Asia,Europe,Oceania,Africa,North America, South America"</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Metadata</vt:lpstr>
      <vt:lpstr>bird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Amit</dc:creator>
  <cp:lastModifiedBy>Amit Patil</cp:lastModifiedBy>
  <dcterms:created xsi:type="dcterms:W3CDTF">2024-04-11T02:59:00Z</dcterms:created>
  <dcterms:modified xsi:type="dcterms:W3CDTF">2026-02-24T14:49:41Z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09ED18CBAFB24741A43C605931B5484C_12</vt:lpwstr>
  </property>
  <property fmtid="{D5CDD505-2E9C-101B-9397-08002B2CF9AE}" pid="3" name="KSOProductBuildVer">
    <vt:lpwstr>1033-12.2.0.23196</vt:lpwstr>
  </property>
</Properties>
</file>